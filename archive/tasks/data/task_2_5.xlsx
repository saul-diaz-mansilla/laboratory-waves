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d3525_ic_ac_uk/Documents/waves/"/>
    </mc:Choice>
  </mc:AlternateContent>
  <xr:revisionPtr revIDLastSave="0" documentId="8_{DBFDD0C4-2326-424C-96BC-518A0F033FA6}" xr6:coauthVersionLast="47" xr6:coauthVersionMax="47" xr10:uidLastSave="{00000000-0000-0000-0000-000000000000}"/>
  <bookViews>
    <workbookView xWindow="-120" yWindow="-120" windowWidth="29040" windowHeight="15840" xr2:uid="{F7F01A49-3D10-4623-9375-C47D0C98D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6" i="1"/>
  <c r="D16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G5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2" i="1"/>
  <c r="D2" i="1" s="1"/>
</calcChain>
</file>

<file path=xl/sharedStrings.xml><?xml version="1.0" encoding="utf-8"?>
<sst xmlns="http://schemas.openxmlformats.org/spreadsheetml/2006/main" count="16" uniqueCount="12">
  <si>
    <t>section</t>
  </si>
  <si>
    <t>speed</t>
  </si>
  <si>
    <t>time (us)</t>
  </si>
  <si>
    <t>dt (us)</t>
  </si>
  <si>
    <t>V (sections/s)</t>
  </si>
  <si>
    <t>L (H/section)</t>
  </si>
  <si>
    <t>C (F/section)</t>
  </si>
  <si>
    <t>edge time (ns)</t>
  </si>
  <si>
    <t>duty cycle</t>
  </si>
  <si>
    <t>offset (V)</t>
  </si>
  <si>
    <t>amp (V)</t>
  </si>
  <si>
    <t>freq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</si>
</sst>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E100-6BD3-484D-AD3A-C42A2F87EC95}">
  <dimension ref="A1:J26"/>
  <sheetViews>
    <sheetView tabSelected="1" workbookViewId="0">
      <selection activeCell="I4" sqref="I4"/>
    </sheetView>
  </sheetViews>
  <sheetFormatPr defaultRowHeight="15" x14ac:dyDescent="0.25"/>
  <cols>
    <col min="4" max="4" width="12" style="1" bestFit="1" customWidth="1"/>
    <col min="6" max="6" width="13.85546875" customWidth="1"/>
    <col min="9" max="9" width="14.7109375" customWidth="1"/>
  </cols>
  <sheetData>
    <row r="1" spans="1:10" x14ac:dyDescent="0.25">
      <c r="A1" t="s">
        <v>0</v>
      </c>
      <c r="B1" t="s">
        <v>2</v>
      </c>
      <c r="C1" t="s">
        <v>3</v>
      </c>
      <c r="D1" s="1" t="s">
        <v>1</v>
      </c>
    </row>
    <row r="2" spans="1:10" x14ac:dyDescent="0.25">
      <c r="A2">
        <v>0</v>
      </c>
      <c r="B2">
        <v>0.93600000000000005</v>
      </c>
      <c r="C2">
        <f>B2-$B$2</f>
        <v>0</v>
      </c>
      <c r="D2" s="1" t="e">
        <f>(A2)/C2*1000000</f>
        <v>#DIV/0!</v>
      </c>
    </row>
    <row r="3" spans="1:10" x14ac:dyDescent="0.25">
      <c r="A3">
        <v>4</v>
      </c>
      <c r="B3">
        <v>11.95</v>
      </c>
      <c r="C3">
        <f>B3-$B$2</f>
        <v>11.013999999999999</v>
      </c>
      <c r="D3" s="1">
        <f t="shared" ref="D3:D12" si="0">(A3)/C3*1000000</f>
        <v>363174.14200108952</v>
      </c>
      <c r="F3" t="s">
        <v>5</v>
      </c>
      <c r="G3" s="1">
        <v>3.3E-4</v>
      </c>
      <c r="I3" t="s">
        <v>11</v>
      </c>
      <c r="J3">
        <v>2000</v>
      </c>
    </row>
    <row r="4" spans="1:10" x14ac:dyDescent="0.25">
      <c r="A4">
        <v>8</v>
      </c>
      <c r="B4">
        <v>21.37</v>
      </c>
      <c r="C4">
        <f>B4-$B$2</f>
        <v>20.434000000000001</v>
      </c>
      <c r="D4" s="1">
        <f t="shared" si="0"/>
        <v>391504.35548595473</v>
      </c>
      <c r="F4" t="s">
        <v>6</v>
      </c>
      <c r="G4" s="1">
        <v>1.4999999999999999E-8</v>
      </c>
      <c r="I4" t="s">
        <v>10</v>
      </c>
      <c r="J4">
        <v>5</v>
      </c>
    </row>
    <row r="5" spans="1:10" x14ac:dyDescent="0.25">
      <c r="A5">
        <v>12</v>
      </c>
      <c r="B5">
        <v>30.81</v>
      </c>
      <c r="C5">
        <f>B5-$B$2</f>
        <v>29.873999999999999</v>
      </c>
      <c r="D5" s="1">
        <f t="shared" si="0"/>
        <v>401687.08576019283</v>
      </c>
      <c r="F5" t="s">
        <v>4</v>
      </c>
      <c r="G5" s="1">
        <f>1/SQRT(G3*G4)</f>
        <v>449466.57497549476</v>
      </c>
      <c r="I5" t="s">
        <v>9</v>
      </c>
      <c r="J5">
        <v>2.5</v>
      </c>
    </row>
    <row r="6" spans="1:10" x14ac:dyDescent="0.25">
      <c r="A6">
        <v>16</v>
      </c>
      <c r="B6">
        <v>40.65</v>
      </c>
      <c r="C6">
        <f>B6-$B$2</f>
        <v>39.713999999999999</v>
      </c>
      <c r="D6" s="1">
        <f t="shared" si="0"/>
        <v>402880.59626328247</v>
      </c>
      <c r="I6" t="s">
        <v>8</v>
      </c>
      <c r="J6" s="2">
        <v>0.1</v>
      </c>
    </row>
    <row r="7" spans="1:10" x14ac:dyDescent="0.25">
      <c r="A7">
        <v>20</v>
      </c>
      <c r="B7">
        <v>49.49</v>
      </c>
      <c r="C7">
        <f>B7-$B$2</f>
        <v>48.554000000000002</v>
      </c>
      <c r="D7" s="1">
        <f t="shared" si="0"/>
        <v>411912.5097829221</v>
      </c>
      <c r="I7" t="s">
        <v>7</v>
      </c>
      <c r="J7">
        <v>500</v>
      </c>
    </row>
    <row r="8" spans="1:10" x14ac:dyDescent="0.25">
      <c r="A8">
        <v>24</v>
      </c>
      <c r="B8">
        <v>58.77</v>
      </c>
      <c r="C8">
        <f>B8-$B$2</f>
        <v>57.834000000000003</v>
      </c>
      <c r="D8" s="1">
        <f t="shared" si="0"/>
        <v>414980.80713766988</v>
      </c>
    </row>
    <row r="9" spans="1:10" x14ac:dyDescent="0.25">
      <c r="A9">
        <v>28</v>
      </c>
      <c r="B9">
        <v>67.83</v>
      </c>
      <c r="C9">
        <f>B9-$B$2</f>
        <v>66.893999999999991</v>
      </c>
      <c r="D9" s="1">
        <f t="shared" si="0"/>
        <v>418572.66720483161</v>
      </c>
    </row>
    <row r="10" spans="1:10" x14ac:dyDescent="0.25">
      <c r="A10">
        <v>32</v>
      </c>
      <c r="B10">
        <v>76.61</v>
      </c>
      <c r="C10">
        <f>B10-$B$2</f>
        <v>75.673999999999992</v>
      </c>
      <c r="D10" s="1">
        <f t="shared" si="0"/>
        <v>422866.50632978306</v>
      </c>
    </row>
    <row r="11" spans="1:10" x14ac:dyDescent="0.25">
      <c r="A11">
        <v>36</v>
      </c>
      <c r="B11">
        <v>86.03</v>
      </c>
      <c r="C11">
        <f>B11-$B$2</f>
        <v>85.093999999999994</v>
      </c>
      <c r="D11" s="1">
        <f t="shared" si="0"/>
        <v>423061.55545631889</v>
      </c>
    </row>
    <row r="12" spans="1:10" x14ac:dyDescent="0.25">
      <c r="A12">
        <v>40</v>
      </c>
      <c r="B12">
        <v>94.43</v>
      </c>
      <c r="C12">
        <f>B12-$B$2</f>
        <v>93.494</v>
      </c>
      <c r="D12" s="1">
        <f t="shared" si="0"/>
        <v>427834.94127965433</v>
      </c>
    </row>
    <row r="13" spans="1:10" x14ac:dyDescent="0.25">
      <c r="D13" s="1">
        <f>AVERAGE(D3:D12)</f>
        <v>407847.51667016995</v>
      </c>
      <c r="E13" s="1">
        <f>_xlfn.STDEV.S(D3:D12)</f>
        <v>19334.487190095395</v>
      </c>
    </row>
    <row r="15" spans="1:10" x14ac:dyDescent="0.25">
      <c r="A15" t="s">
        <v>0</v>
      </c>
      <c r="B15" t="s">
        <v>2</v>
      </c>
      <c r="C15" t="s">
        <v>3</v>
      </c>
      <c r="D15" s="1" t="s">
        <v>1</v>
      </c>
    </row>
    <row r="16" spans="1:10" x14ac:dyDescent="0.25">
      <c r="A16">
        <v>0</v>
      </c>
      <c r="B16">
        <v>-1.1000000000000001</v>
      </c>
      <c r="C16">
        <f>B16-$B$16</f>
        <v>0</v>
      </c>
      <c r="D16" s="1" t="e">
        <f>(A16)/C16*1000000</f>
        <v>#DIV/0!</v>
      </c>
    </row>
    <row r="17" spans="1:4" x14ac:dyDescent="0.25">
      <c r="A17">
        <v>4</v>
      </c>
      <c r="B17">
        <v>4.3600000000000003</v>
      </c>
      <c r="C17">
        <f>B17-$B$2</f>
        <v>3.4240000000000004</v>
      </c>
      <c r="D17" s="1">
        <f t="shared" ref="D17:D26" si="1">(A17)/C17*1000000</f>
        <v>1168224.2990654204</v>
      </c>
    </row>
    <row r="18" spans="1:4" x14ac:dyDescent="0.25">
      <c r="A18">
        <v>8</v>
      </c>
      <c r="B18">
        <v>11.58</v>
      </c>
      <c r="C18">
        <f>B18-$B$2</f>
        <v>10.644</v>
      </c>
      <c r="D18" s="1">
        <f t="shared" si="1"/>
        <v>751597.14393085311</v>
      </c>
    </row>
    <row r="19" spans="1:4" x14ac:dyDescent="0.25">
      <c r="A19">
        <v>12</v>
      </c>
      <c r="B19">
        <v>19.29</v>
      </c>
      <c r="C19">
        <f>B19-$B$2</f>
        <v>18.353999999999999</v>
      </c>
      <c r="D19" s="1">
        <f t="shared" si="1"/>
        <v>653808.43412880029</v>
      </c>
    </row>
    <row r="20" spans="1:4" x14ac:dyDescent="0.25">
      <c r="A20">
        <v>16</v>
      </c>
      <c r="B20">
        <v>27.18</v>
      </c>
      <c r="C20">
        <f>B20-$B$2</f>
        <v>26.244</v>
      </c>
      <c r="D20" s="1">
        <f t="shared" si="1"/>
        <v>609663.16110349027</v>
      </c>
    </row>
    <row r="21" spans="1:4" x14ac:dyDescent="0.25">
      <c r="A21">
        <v>20</v>
      </c>
      <c r="B21">
        <v>35.22</v>
      </c>
      <c r="C21">
        <f>B21-$B$2</f>
        <v>34.283999999999999</v>
      </c>
      <c r="D21" s="1">
        <f t="shared" si="1"/>
        <v>583362.50145840633</v>
      </c>
    </row>
    <row r="22" spans="1:4" x14ac:dyDescent="0.25">
      <c r="A22">
        <v>24</v>
      </c>
      <c r="B22">
        <v>43.08</v>
      </c>
      <c r="C22">
        <f>B22-$B$2</f>
        <v>42.143999999999998</v>
      </c>
      <c r="D22" s="1">
        <f t="shared" si="1"/>
        <v>569476.08200455585</v>
      </c>
    </row>
    <row r="23" spans="1:4" x14ac:dyDescent="0.25">
      <c r="A23">
        <v>28</v>
      </c>
      <c r="B23">
        <v>51.08</v>
      </c>
      <c r="C23">
        <f>B23-$B$2</f>
        <v>50.143999999999998</v>
      </c>
      <c r="D23" s="1">
        <f t="shared" si="1"/>
        <v>558391.83152520738</v>
      </c>
    </row>
    <row r="24" spans="1:4" x14ac:dyDescent="0.25">
      <c r="A24">
        <v>32</v>
      </c>
      <c r="B24">
        <v>59.13</v>
      </c>
      <c r="C24">
        <f>B24-$B$2</f>
        <v>58.194000000000003</v>
      </c>
      <c r="D24" s="1">
        <f t="shared" si="1"/>
        <v>549884.86785579275</v>
      </c>
    </row>
    <row r="25" spans="1:4" x14ac:dyDescent="0.25">
      <c r="A25">
        <v>36</v>
      </c>
      <c r="B25">
        <v>67.3</v>
      </c>
      <c r="C25">
        <f>B25-$B$2</f>
        <v>66.36399999999999</v>
      </c>
      <c r="D25" s="1">
        <f t="shared" si="1"/>
        <v>542462.78102585743</v>
      </c>
    </row>
    <row r="26" spans="1:4" x14ac:dyDescent="0.25">
      <c r="A26">
        <v>40</v>
      </c>
      <c r="B26">
        <v>75.22</v>
      </c>
      <c r="C26">
        <f>B26-$B$2</f>
        <v>74.283999999999992</v>
      </c>
      <c r="D26" s="1">
        <f t="shared" si="1"/>
        <v>538473.96478380274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Mansilla, Saul</dc:creator>
  <cp:lastModifiedBy>Diaz Mansilla, Saul</cp:lastModifiedBy>
  <dcterms:created xsi:type="dcterms:W3CDTF">2026-02-12T10:51:22Z</dcterms:created>
  <dcterms:modified xsi:type="dcterms:W3CDTF">2026-02-12T11:13:26Z</dcterms:modified>
</cp:coreProperties>
</file>