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laboratory-waves\data\electrical\"/>
    </mc:Choice>
  </mc:AlternateContent>
  <xr:revisionPtr revIDLastSave="0" documentId="13_ncr:1_{1DDA5B1C-B981-414B-BA73-1E4075D0872E}" xr6:coauthVersionLast="47" xr6:coauthVersionMax="47" xr10:uidLastSave="{00000000-0000-0000-0000-000000000000}"/>
  <bookViews>
    <workbookView xWindow="-108" yWindow="-108" windowWidth="23256" windowHeight="12456" xr2:uid="{D73005F2-5D69-4685-BA2C-A4D36748C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24" i="1" s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" i="1"/>
  <c r="F32" i="1"/>
  <c r="H1" i="1"/>
  <c r="P1" i="1"/>
  <c r="L1" i="1"/>
  <c r="F4" i="1"/>
  <c r="F13" i="1"/>
  <c r="F14" i="1"/>
  <c r="F15" i="1"/>
  <c r="F16" i="1"/>
  <c r="F17" i="1"/>
  <c r="F18" i="1"/>
  <c r="F19" i="1"/>
  <c r="F20" i="1"/>
  <c r="F21" i="1"/>
  <c r="F22" i="1"/>
  <c r="F23" i="1"/>
  <c r="F26" i="1"/>
  <c r="F27" i="1"/>
  <c r="F28" i="1"/>
  <c r="F29" i="1"/>
  <c r="F30" i="1"/>
  <c r="F31" i="1"/>
  <c r="F25" i="1" l="1"/>
  <c r="F35" i="1"/>
  <c r="F34" i="1"/>
  <c r="F33" i="1"/>
  <c r="F12" i="1"/>
  <c r="F11" i="1"/>
  <c r="F10" i="1"/>
  <c r="F9" i="1"/>
  <c r="F8" i="1"/>
  <c r="F7" i="1"/>
  <c r="F6" i="1"/>
  <c r="F5" i="1"/>
  <c r="F3" i="1" l="1"/>
  <c r="N35" i="1"/>
  <c r="M35" i="1"/>
  <c r="D35" i="1"/>
  <c r="Q35" i="1" s="1"/>
  <c r="N34" i="1"/>
  <c r="M34" i="1"/>
  <c r="D34" i="1"/>
  <c r="Q34" i="1" s="1"/>
  <c r="N28" i="1"/>
  <c r="N29" i="1"/>
  <c r="N30" i="1"/>
  <c r="N31" i="1"/>
  <c r="N32" i="1"/>
  <c r="N33" i="1"/>
  <c r="M28" i="1"/>
  <c r="M29" i="1"/>
  <c r="M30" i="1"/>
  <c r="M31" i="1"/>
  <c r="M32" i="1"/>
  <c r="M33" i="1"/>
  <c r="D28" i="1"/>
  <c r="Q28" i="1" s="1"/>
  <c r="D29" i="1"/>
  <c r="Q29" i="1" s="1"/>
  <c r="D30" i="1"/>
  <c r="Q30" i="1" s="1"/>
  <c r="D31" i="1"/>
  <c r="Q31" i="1" s="1"/>
  <c r="D32" i="1"/>
  <c r="Q32" i="1" s="1"/>
  <c r="D33" i="1"/>
  <c r="Q33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N24" i="1"/>
  <c r="N25" i="1"/>
  <c r="N26" i="1"/>
  <c r="N27" i="1"/>
  <c r="D19" i="1"/>
  <c r="Q19" i="1" s="1"/>
  <c r="D20" i="1"/>
  <c r="Q20" i="1" s="1"/>
  <c r="D21" i="1"/>
  <c r="Q21" i="1" s="1"/>
  <c r="D22" i="1"/>
  <c r="Q22" i="1" s="1"/>
  <c r="D23" i="1"/>
  <c r="Q23" i="1" s="1"/>
  <c r="D24" i="1"/>
  <c r="Q24" i="1" s="1"/>
  <c r="D25" i="1"/>
  <c r="Q25" i="1" s="1"/>
  <c r="D26" i="1"/>
  <c r="Q26" i="1" s="1"/>
  <c r="D27" i="1"/>
  <c r="Q27" i="1" s="1"/>
  <c r="O19" i="1"/>
  <c r="O20" i="1"/>
  <c r="O21" i="1" s="1"/>
  <c r="D18" i="1"/>
  <c r="P19" i="1" s="1"/>
  <c r="D17" i="1"/>
  <c r="Q17" i="1" s="1"/>
  <c r="D4" i="1"/>
  <c r="Q4" i="1" s="1"/>
  <c r="D5" i="1"/>
  <c r="P5" i="1" s="1"/>
  <c r="D6" i="1"/>
  <c r="D7" i="1"/>
  <c r="P7" i="1" s="1"/>
  <c r="D8" i="1"/>
  <c r="P8" i="1" s="1"/>
  <c r="D9" i="1"/>
  <c r="P9" i="1" s="1"/>
  <c r="D10" i="1"/>
  <c r="D11" i="1"/>
  <c r="P11" i="1" s="1"/>
  <c r="D12" i="1"/>
  <c r="D13" i="1"/>
  <c r="O13" i="1" s="1"/>
  <c r="D14" i="1"/>
  <c r="O14" i="1" s="1"/>
  <c r="D15" i="1"/>
  <c r="O15" i="1" s="1"/>
  <c r="D16" i="1"/>
  <c r="P16" i="1" s="1"/>
  <c r="D3" i="1"/>
  <c r="O3" i="1" s="1"/>
  <c r="P6" i="1" l="1"/>
  <c r="P10" i="1"/>
  <c r="O4" i="1"/>
  <c r="O34" i="1"/>
  <c r="P18" i="1"/>
  <c r="P12" i="1"/>
  <c r="Q18" i="1"/>
  <c r="P34" i="1"/>
  <c r="O35" i="1"/>
  <c r="Q16" i="1"/>
  <c r="Q15" i="1"/>
  <c r="Q14" i="1"/>
  <c r="P35" i="1"/>
  <c r="Q13" i="1"/>
  <c r="Q3" i="1"/>
  <c r="Q12" i="1"/>
  <c r="O6" i="1"/>
  <c r="Q11" i="1"/>
  <c r="O5" i="1"/>
  <c r="Q10" i="1"/>
  <c r="Q9" i="1"/>
  <c r="Q8" i="1"/>
  <c r="Q7" i="1"/>
  <c r="Q6" i="1"/>
  <c r="Q5" i="1"/>
  <c r="P17" i="1"/>
  <c r="P22" i="1"/>
  <c r="O22" i="1"/>
  <c r="P21" i="1"/>
  <c r="O17" i="1"/>
  <c r="O11" i="1"/>
  <c r="O10" i="1"/>
  <c r="O9" i="1"/>
  <c r="O12" i="1"/>
  <c r="O8" i="1"/>
  <c r="O7" i="1"/>
  <c r="P20" i="1"/>
  <c r="P4" i="1"/>
  <c r="P15" i="1"/>
  <c r="P13" i="1"/>
  <c r="O16" i="1"/>
  <c r="O18" i="1"/>
  <c r="P14" i="1"/>
  <c r="O23" i="1" l="1"/>
  <c r="P23" i="1"/>
  <c r="O24" i="1" l="1"/>
  <c r="P24" i="1"/>
  <c r="O25" i="1" l="1"/>
  <c r="P25" i="1"/>
  <c r="O26" i="1" l="1"/>
  <c r="P26" i="1"/>
  <c r="O27" i="1" l="1"/>
  <c r="P27" i="1"/>
  <c r="P28" i="1" l="1"/>
  <c r="O28" i="1"/>
  <c r="O30" i="1"/>
  <c r="P31" i="1" s="1"/>
  <c r="P30" i="1"/>
  <c r="P29" i="1"/>
  <c r="O29" i="1"/>
  <c r="O31" i="1" l="1"/>
  <c r="P32" i="1" s="1"/>
  <c r="O32" i="1" l="1"/>
  <c r="O33" i="1" s="1"/>
  <c r="P33" i="1" l="1"/>
</calcChain>
</file>

<file path=xl/sharedStrings.xml><?xml version="1.0" encoding="utf-8"?>
<sst xmlns="http://schemas.openxmlformats.org/spreadsheetml/2006/main" count="26" uniqueCount="24">
  <si>
    <t>n</t>
  </si>
  <si>
    <t>in phase</t>
  </si>
  <si>
    <t>err</t>
  </si>
  <si>
    <t>ratio</t>
  </si>
  <si>
    <t>freq (Hz)</t>
  </si>
  <si>
    <t>err (V)</t>
  </si>
  <si>
    <t>sections</t>
  </si>
  <si>
    <t>vpp_0 (V)</t>
  </si>
  <si>
    <t>vpp_38 (V)</t>
  </si>
  <si>
    <t>Z_0 (ohm)</t>
  </si>
  <si>
    <t>L (H/sec)</t>
  </si>
  <si>
    <t>C (F/sec)</t>
  </si>
  <si>
    <t>R (ohm)</t>
  </si>
  <si>
    <t>File #</t>
  </si>
  <si>
    <t>k_n (sec^-1)</t>
  </si>
  <si>
    <t>v_phase (sec/s)</t>
  </si>
  <si>
    <t>v_group (sec/s)</t>
  </si>
  <si>
    <t>f_c*sin(k/2l-0)</t>
  </si>
  <si>
    <t>err (ohm)</t>
  </si>
  <si>
    <t>Vpp_in (V)</t>
  </si>
  <si>
    <t>err (H/sec)</t>
  </si>
  <si>
    <t>err (F/sec)</t>
  </si>
  <si>
    <t>f_c (Hz)</t>
  </si>
  <si>
    <t>err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</si>
</sst>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0.000"/>
    <numFmt numFmtId="166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2" fontId="0" fillId="0" borderId="0" xfId="1" applyNumberFormat="1" applyFont="1" applyAlignment="1">
      <alignment horizontal="left"/>
    </xf>
    <xf numFmtId="12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Sheet1!$N$3:$N$35</c:f>
                <c:numCache>
                  <c:formatCode>General</c:formatCode>
                  <c:ptCount val="33"/>
                  <c:pt idx="0">
                    <c:v>4.8100579113035139E-3</c:v>
                  </c:pt>
                  <c:pt idx="1">
                    <c:v>5.3224747080253716E-3</c:v>
                  </c:pt>
                  <c:pt idx="2">
                    <c:v>5.7238768659467866E-3</c:v>
                  </c:pt>
                  <c:pt idx="3">
                    <c:v>5.5192238651506362E-3</c:v>
                  </c:pt>
                  <c:pt idx="4">
                    <c:v>4.8351445060125786E-3</c:v>
                  </c:pt>
                  <c:pt idx="5">
                    <c:v>5.3745055368454421E-3</c:v>
                  </c:pt>
                  <c:pt idx="6">
                    <c:v>5.1025703326852828E-3</c:v>
                  </c:pt>
                  <c:pt idx="7">
                    <c:v>5.0466252309424187E-3</c:v>
                  </c:pt>
                  <c:pt idx="8">
                    <c:v>5.6291067618206509E-3</c:v>
                  </c:pt>
                  <c:pt idx="9">
                    <c:v>4.8464373855237591E-3</c:v>
                  </c:pt>
                  <c:pt idx="10">
                    <c:v>4.6075397573394567E-3</c:v>
                  </c:pt>
                  <c:pt idx="11">
                    <c:v>3.800387003955416E-3</c:v>
                  </c:pt>
                  <c:pt idx="12">
                    <c:v>5.1924438698010087E-3</c:v>
                  </c:pt>
                  <c:pt idx="13">
                    <c:v>3.7925782451351977E-3</c:v>
                  </c:pt>
                  <c:pt idx="14">
                    <c:v>4.2004237722079139E-3</c:v>
                  </c:pt>
                  <c:pt idx="15">
                    <c:v>4.2577462223405181E-3</c:v>
                  </c:pt>
                  <c:pt idx="16">
                    <c:v>3.3310027632996262E-3</c:v>
                  </c:pt>
                  <c:pt idx="17">
                    <c:v>5.7802802407284351E-3</c:v>
                  </c:pt>
                  <c:pt idx="18">
                    <c:v>3.3444093428495053E-3</c:v>
                  </c:pt>
                  <c:pt idx="19">
                    <c:v>3.8765248163918735E-3</c:v>
                  </c:pt>
                  <c:pt idx="20">
                    <c:v>2.8510316667124738E-3</c:v>
                  </c:pt>
                  <c:pt idx="21">
                    <c:v>6.7968388666572819E-3</c:v>
                  </c:pt>
                  <c:pt idx="22">
                    <c:v>4.8086734693877555E-3</c:v>
                  </c:pt>
                  <c:pt idx="23">
                    <c:v>4.7054034314723244E-3</c:v>
                  </c:pt>
                  <c:pt idx="24">
                    <c:v>4.0820312499999997E-3</c:v>
                  </c:pt>
                  <c:pt idx="25">
                    <c:v>4.4608410493827159E-3</c:v>
                  </c:pt>
                  <c:pt idx="26">
                    <c:v>3.2101632402158323E-3</c:v>
                  </c:pt>
                  <c:pt idx="27">
                    <c:v>4.3895747599451296E-3</c:v>
                  </c:pt>
                  <c:pt idx="28">
                    <c:v>2.8073635765943458E-3</c:v>
                  </c:pt>
                  <c:pt idx="29">
                    <c:v>2.6638775887573964E-3</c:v>
                  </c:pt>
                  <c:pt idx="30">
                    <c:v>2.6960623143094551E-3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plus>
            <c:minus>
              <c:numRef>
                <c:f>Sheet1!$N$3:$N$35</c:f>
                <c:numCache>
                  <c:formatCode>General</c:formatCode>
                  <c:ptCount val="33"/>
                  <c:pt idx="0">
                    <c:v>4.8100579113035139E-3</c:v>
                  </c:pt>
                  <c:pt idx="1">
                    <c:v>5.3224747080253716E-3</c:v>
                  </c:pt>
                  <c:pt idx="2">
                    <c:v>5.7238768659467866E-3</c:v>
                  </c:pt>
                  <c:pt idx="3">
                    <c:v>5.5192238651506362E-3</c:v>
                  </c:pt>
                  <c:pt idx="4">
                    <c:v>4.8351445060125786E-3</c:v>
                  </c:pt>
                  <c:pt idx="5">
                    <c:v>5.3745055368454421E-3</c:v>
                  </c:pt>
                  <c:pt idx="6">
                    <c:v>5.1025703326852828E-3</c:v>
                  </c:pt>
                  <c:pt idx="7">
                    <c:v>5.0466252309424187E-3</c:v>
                  </c:pt>
                  <c:pt idx="8">
                    <c:v>5.6291067618206509E-3</c:v>
                  </c:pt>
                  <c:pt idx="9">
                    <c:v>4.8464373855237591E-3</c:v>
                  </c:pt>
                  <c:pt idx="10">
                    <c:v>4.6075397573394567E-3</c:v>
                  </c:pt>
                  <c:pt idx="11">
                    <c:v>3.800387003955416E-3</c:v>
                  </c:pt>
                  <c:pt idx="12">
                    <c:v>5.1924438698010087E-3</c:v>
                  </c:pt>
                  <c:pt idx="13">
                    <c:v>3.7925782451351977E-3</c:v>
                  </c:pt>
                  <c:pt idx="14">
                    <c:v>4.2004237722079139E-3</c:v>
                  </c:pt>
                  <c:pt idx="15">
                    <c:v>4.2577462223405181E-3</c:v>
                  </c:pt>
                  <c:pt idx="16">
                    <c:v>3.3310027632996262E-3</c:v>
                  </c:pt>
                  <c:pt idx="17">
                    <c:v>5.7802802407284351E-3</c:v>
                  </c:pt>
                  <c:pt idx="18">
                    <c:v>3.3444093428495053E-3</c:v>
                  </c:pt>
                  <c:pt idx="19">
                    <c:v>3.8765248163918735E-3</c:v>
                  </c:pt>
                  <c:pt idx="20">
                    <c:v>2.8510316667124738E-3</c:v>
                  </c:pt>
                  <c:pt idx="21">
                    <c:v>6.7968388666572819E-3</c:v>
                  </c:pt>
                  <c:pt idx="22">
                    <c:v>4.8086734693877555E-3</c:v>
                  </c:pt>
                  <c:pt idx="23">
                    <c:v>4.7054034314723244E-3</c:v>
                  </c:pt>
                  <c:pt idx="24">
                    <c:v>4.0820312499999997E-3</c:v>
                  </c:pt>
                  <c:pt idx="25">
                    <c:v>4.4608410493827159E-3</c:v>
                  </c:pt>
                  <c:pt idx="26">
                    <c:v>3.2101632402158323E-3</c:v>
                  </c:pt>
                  <c:pt idx="27">
                    <c:v>4.3895747599451296E-3</c:v>
                  </c:pt>
                  <c:pt idx="28">
                    <c:v>2.8073635765943458E-3</c:v>
                  </c:pt>
                  <c:pt idx="29">
                    <c:v>2.6638775887573964E-3</c:v>
                  </c:pt>
                  <c:pt idx="30">
                    <c:v>2.6960623143094551E-3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Sheet1!$E$3:$E$35</c:f>
              <c:numCache>
                <c:formatCode>0</c:formatCode>
                <c:ptCount val="33"/>
                <c:pt idx="0">
                  <c:v>20</c:v>
                </c:pt>
                <c:pt idx="1">
                  <c:v>5900</c:v>
                </c:pt>
                <c:pt idx="2">
                  <c:v>11800</c:v>
                </c:pt>
                <c:pt idx="3">
                  <c:v>17800</c:v>
                </c:pt>
                <c:pt idx="4">
                  <c:v>23600</c:v>
                </c:pt>
                <c:pt idx="5">
                  <c:v>29500</c:v>
                </c:pt>
                <c:pt idx="6">
                  <c:v>35100</c:v>
                </c:pt>
                <c:pt idx="7">
                  <c:v>41200</c:v>
                </c:pt>
                <c:pt idx="8">
                  <c:v>46700</c:v>
                </c:pt>
                <c:pt idx="9">
                  <c:v>52100</c:v>
                </c:pt>
                <c:pt idx="10">
                  <c:v>57600</c:v>
                </c:pt>
                <c:pt idx="11">
                  <c:v>63400</c:v>
                </c:pt>
                <c:pt idx="12">
                  <c:v>69200</c:v>
                </c:pt>
                <c:pt idx="13">
                  <c:v>73700</c:v>
                </c:pt>
                <c:pt idx="14">
                  <c:v>79400</c:v>
                </c:pt>
                <c:pt idx="15">
                  <c:v>83900</c:v>
                </c:pt>
                <c:pt idx="16">
                  <c:v>89200</c:v>
                </c:pt>
                <c:pt idx="17">
                  <c:v>93750</c:v>
                </c:pt>
                <c:pt idx="18">
                  <c:v>98250</c:v>
                </c:pt>
                <c:pt idx="19">
                  <c:v>102400</c:v>
                </c:pt>
                <c:pt idx="20">
                  <c:v>107600</c:v>
                </c:pt>
                <c:pt idx="21">
                  <c:v>111400</c:v>
                </c:pt>
                <c:pt idx="22">
                  <c:v>115900</c:v>
                </c:pt>
                <c:pt idx="23">
                  <c:v>119100</c:v>
                </c:pt>
                <c:pt idx="24">
                  <c:v>122800</c:v>
                </c:pt>
                <c:pt idx="25">
                  <c:v>125850</c:v>
                </c:pt>
                <c:pt idx="26">
                  <c:v>129700</c:v>
                </c:pt>
                <c:pt idx="27">
                  <c:v>132400</c:v>
                </c:pt>
                <c:pt idx="28">
                  <c:v>135900</c:v>
                </c:pt>
                <c:pt idx="29">
                  <c:v>138750</c:v>
                </c:pt>
                <c:pt idx="30">
                  <c:v>141100</c:v>
                </c:pt>
                <c:pt idx="31">
                  <c:v>143350</c:v>
                </c:pt>
                <c:pt idx="32">
                  <c:v>145300</c:v>
                </c:pt>
              </c:numCache>
            </c:numRef>
          </c:xVal>
          <c:yVal>
            <c:numRef>
              <c:f>Sheet1!$M$3:$M$35</c:f>
              <c:numCache>
                <c:formatCode>0.000</c:formatCode>
                <c:ptCount val="33"/>
                <c:pt idx="0">
                  <c:v>0.87318840579710155</c:v>
                </c:pt>
                <c:pt idx="1">
                  <c:v>0.91764705882352937</c:v>
                </c:pt>
                <c:pt idx="2">
                  <c:v>0.950207468879668</c:v>
                </c:pt>
                <c:pt idx="3">
                  <c:v>0.91020408163265298</c:v>
                </c:pt>
                <c:pt idx="4">
                  <c:v>0.81647940074906378</c:v>
                </c:pt>
                <c:pt idx="5">
                  <c:v>0.84836065573770492</c:v>
                </c:pt>
                <c:pt idx="6">
                  <c:v>0.79200000000000004</c:v>
                </c:pt>
                <c:pt idx="7">
                  <c:v>0.7857142857142857</c:v>
                </c:pt>
                <c:pt idx="8">
                  <c:v>0.83116883116883111</c:v>
                </c:pt>
                <c:pt idx="9">
                  <c:v>0.73437499999999989</c:v>
                </c:pt>
                <c:pt idx="10">
                  <c:v>0.68441064638783278</c:v>
                </c:pt>
                <c:pt idx="11">
                  <c:v>0.57095709570957098</c:v>
                </c:pt>
                <c:pt idx="12">
                  <c:v>0.66233766233766234</c:v>
                </c:pt>
                <c:pt idx="13">
                  <c:v>0.5101351351351352</c:v>
                </c:pt>
                <c:pt idx="14">
                  <c:v>0.57818181818181824</c:v>
                </c:pt>
                <c:pt idx="15">
                  <c:v>0.57564575645756455</c:v>
                </c:pt>
                <c:pt idx="16">
                  <c:v>0.42331288343558282</c:v>
                </c:pt>
                <c:pt idx="17">
                  <c:v>0.65700483091787454</c:v>
                </c:pt>
                <c:pt idx="18">
                  <c:v>0.38124999999999998</c:v>
                </c:pt>
                <c:pt idx="19">
                  <c:v>0.38043478260869568</c:v>
                </c:pt>
                <c:pt idx="20">
                  <c:v>0.30790190735694822</c:v>
                </c:pt>
                <c:pt idx="21">
                  <c:v>0.51569506726457393</c:v>
                </c:pt>
                <c:pt idx="22">
                  <c:v>0.34642857142857142</c:v>
                </c:pt>
                <c:pt idx="23">
                  <c:v>0.35986159169550175</c:v>
                </c:pt>
                <c:pt idx="24">
                  <c:v>0.30624999999999997</c:v>
                </c:pt>
                <c:pt idx="25">
                  <c:v>0.28472222222222221</c:v>
                </c:pt>
                <c:pt idx="26">
                  <c:v>0.16528925619834711</c:v>
                </c:pt>
                <c:pt idx="27">
                  <c:v>0.18518518518518517</c:v>
                </c:pt>
                <c:pt idx="28">
                  <c:v>9.4871794871794868E-2</c:v>
                </c:pt>
                <c:pt idx="29">
                  <c:v>0.10817307692307693</c:v>
                </c:pt>
                <c:pt idx="30">
                  <c:v>0.10268948655256724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E-45D6-A23A-0A5F4134E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86256"/>
        <c:axId val="160084816"/>
      </c:scatterChart>
      <c:valAx>
        <c:axId val="1600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4816"/>
        <c:crosses val="autoZero"/>
        <c:crossBetween val="midCat"/>
      </c:valAx>
      <c:valAx>
        <c:axId val="1600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V_out/V_in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Sheet1!$D$3:$D$35</c:f>
              <c:numCache>
                <c:formatCode>0.000</c:formatCode>
                <c:ptCount val="33"/>
                <c:pt idx="0">
                  <c:v>0</c:v>
                </c:pt>
                <c:pt idx="1">
                  <c:v>8.2673490883941922E-2</c:v>
                </c:pt>
                <c:pt idx="2">
                  <c:v>0.16534698176788384</c:v>
                </c:pt>
                <c:pt idx="3">
                  <c:v>0.24802047265182578</c:v>
                </c:pt>
                <c:pt idx="4">
                  <c:v>0.33069396353576769</c:v>
                </c:pt>
                <c:pt idx="5">
                  <c:v>0.41336745441970962</c:v>
                </c:pt>
                <c:pt idx="6">
                  <c:v>0.49604094530365156</c:v>
                </c:pt>
                <c:pt idx="7">
                  <c:v>0.57871443618759344</c:v>
                </c:pt>
                <c:pt idx="8">
                  <c:v>0.66138792707153538</c:v>
                </c:pt>
                <c:pt idx="9">
                  <c:v>0.74406141795547731</c:v>
                </c:pt>
                <c:pt idx="10">
                  <c:v>0.82673490883941925</c:v>
                </c:pt>
                <c:pt idx="11">
                  <c:v>0.90940839972336107</c:v>
                </c:pt>
                <c:pt idx="12">
                  <c:v>0.99208189060730312</c:v>
                </c:pt>
                <c:pt idx="13">
                  <c:v>1.0747553814912452</c:v>
                </c:pt>
                <c:pt idx="14">
                  <c:v>1.1574288723751869</c:v>
                </c:pt>
                <c:pt idx="15">
                  <c:v>1.2401023632591288</c:v>
                </c:pt>
                <c:pt idx="16">
                  <c:v>1.3227758541430708</c:v>
                </c:pt>
                <c:pt idx="17">
                  <c:v>1.4054493450270129</c:v>
                </c:pt>
                <c:pt idx="18">
                  <c:v>1.4881228359109546</c:v>
                </c:pt>
                <c:pt idx="19">
                  <c:v>1.5707963267948966</c:v>
                </c:pt>
                <c:pt idx="20">
                  <c:v>1.6534698176788385</c:v>
                </c:pt>
                <c:pt idx="21">
                  <c:v>1.7361433085627804</c:v>
                </c:pt>
                <c:pt idx="22">
                  <c:v>1.8188167994467221</c:v>
                </c:pt>
                <c:pt idx="23">
                  <c:v>1.9014902903306641</c:v>
                </c:pt>
                <c:pt idx="24">
                  <c:v>1.9841637812146062</c:v>
                </c:pt>
                <c:pt idx="25">
                  <c:v>2.0668372720985482</c:v>
                </c:pt>
                <c:pt idx="26">
                  <c:v>2.1495107629824903</c:v>
                </c:pt>
                <c:pt idx="27">
                  <c:v>2.232184253866432</c:v>
                </c:pt>
                <c:pt idx="28">
                  <c:v>2.3148577447503738</c:v>
                </c:pt>
                <c:pt idx="29">
                  <c:v>2.3975312356343159</c:v>
                </c:pt>
                <c:pt idx="30">
                  <c:v>2.4802047265182576</c:v>
                </c:pt>
                <c:pt idx="31">
                  <c:v>2.5628782174021993</c:v>
                </c:pt>
                <c:pt idx="32">
                  <c:v>2.6455517082861415</c:v>
                </c:pt>
              </c:numCache>
            </c:numRef>
          </c:xVal>
          <c:yVal>
            <c:numRef>
              <c:f>Sheet1!$E$3:$E$35</c:f>
              <c:numCache>
                <c:formatCode>0</c:formatCode>
                <c:ptCount val="33"/>
                <c:pt idx="0">
                  <c:v>20</c:v>
                </c:pt>
                <c:pt idx="1">
                  <c:v>5900</c:v>
                </c:pt>
                <c:pt idx="2">
                  <c:v>11800</c:v>
                </c:pt>
                <c:pt idx="3">
                  <c:v>17800</c:v>
                </c:pt>
                <c:pt idx="4">
                  <c:v>23600</c:v>
                </c:pt>
                <c:pt idx="5">
                  <c:v>29500</c:v>
                </c:pt>
                <c:pt idx="6">
                  <c:v>35100</c:v>
                </c:pt>
                <c:pt idx="7">
                  <c:v>41200</c:v>
                </c:pt>
                <c:pt idx="8">
                  <c:v>46700</c:v>
                </c:pt>
                <c:pt idx="9">
                  <c:v>52100</c:v>
                </c:pt>
                <c:pt idx="10">
                  <c:v>57600</c:v>
                </c:pt>
                <c:pt idx="11">
                  <c:v>63400</c:v>
                </c:pt>
                <c:pt idx="12">
                  <c:v>69200</c:v>
                </c:pt>
                <c:pt idx="13">
                  <c:v>73700</c:v>
                </c:pt>
                <c:pt idx="14">
                  <c:v>79400</c:v>
                </c:pt>
                <c:pt idx="15">
                  <c:v>83900</c:v>
                </c:pt>
                <c:pt idx="16">
                  <c:v>89200</c:v>
                </c:pt>
                <c:pt idx="17">
                  <c:v>93750</c:v>
                </c:pt>
                <c:pt idx="18">
                  <c:v>98250</c:v>
                </c:pt>
                <c:pt idx="19">
                  <c:v>102400</c:v>
                </c:pt>
                <c:pt idx="20">
                  <c:v>107600</c:v>
                </c:pt>
                <c:pt idx="21">
                  <c:v>111400</c:v>
                </c:pt>
                <c:pt idx="22">
                  <c:v>115900</c:v>
                </c:pt>
                <c:pt idx="23">
                  <c:v>119100</c:v>
                </c:pt>
                <c:pt idx="24">
                  <c:v>122800</c:v>
                </c:pt>
                <c:pt idx="25">
                  <c:v>125850</c:v>
                </c:pt>
                <c:pt idx="26">
                  <c:v>129700</c:v>
                </c:pt>
                <c:pt idx="27">
                  <c:v>132400</c:v>
                </c:pt>
                <c:pt idx="28">
                  <c:v>135900</c:v>
                </c:pt>
                <c:pt idx="29">
                  <c:v>138750</c:v>
                </c:pt>
                <c:pt idx="30">
                  <c:v>141100</c:v>
                </c:pt>
                <c:pt idx="31">
                  <c:v>143350</c:v>
                </c:pt>
                <c:pt idx="32">
                  <c:v>145300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9-4054-8511-268937BE885F}"/>
            </c:ext>
          </c:extLst>
        </c:ser>
        <c:ser>
          <c:idx val="1"/>
          <c:order val="1"/>
          <c:tx>
            <c:v>abs(sink/2))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Sheet1!$R$3:$R$35</c:f>
                <c:numCache>
                  <c:formatCode>General</c:formatCode>
                  <c:ptCount val="33"/>
                  <c:pt idx="0">
                    <c:v>0</c:v>
                  </c:pt>
                  <c:pt idx="1">
                    <c:v>886.85246710806723</c:v>
                  </c:pt>
                  <c:pt idx="2">
                    <c:v>1772.1897616526776</c:v>
                  </c:pt>
                  <c:pt idx="3">
                    <c:v>2654.4992997172822</c:v>
                  </c:pt>
                  <c:pt idx="4">
                    <c:v>3532.2736702564898</c:v>
                  </c:pt>
                  <c:pt idx="5">
                    <c:v>4404.0132104825489</c:v>
                  </c:pt>
                  <c:pt idx="6">
                    <c:v>5268.2285680140676</c:v>
                  </c:pt>
                  <c:pt idx="7">
                    <c:v>6123.4432454095713</c:v>
                  </c:pt>
                  <c:pt idx="8">
                    <c:v>6968.1961227386173</c:v>
                  </c:pt>
                  <c:pt idx="9">
                    <c:v>7801.0439538806822</c:v>
                  </c:pt>
                  <c:pt idx="10">
                    <c:v>8620.563832286949</c:v>
                  </c:pt>
                  <c:pt idx="11">
                    <c:v>9425.3556219922793</c:v>
                  </c:pt>
                  <c:pt idx="12">
                    <c:v>10214.04434972403</c:v>
                  </c:pt>
                  <c:pt idx="13">
                    <c:v>10985.282554020807</c:v>
                  </c:pt>
                  <c:pt idx="14">
                    <c:v>11737.752587347777</c:v>
                  </c:pt>
                  <c:pt idx="15">
                    <c:v>12470.168867275395</c:v>
                  </c:pt>
                  <c:pt idx="16">
                    <c:v>13181.280072875394</c:v>
                  </c:pt>
                  <c:pt idx="17">
                    <c:v>13869.871282581613</c:v>
                  </c:pt>
                  <c:pt idx="18">
                    <c:v>14534.766049863112</c:v>
                  </c:pt>
                  <c:pt idx="19">
                    <c:v>15174.828413163335</c:v>
                  </c:pt>
                  <c:pt idx="20">
                    <c:v>15788.964836671379</c:v>
                  </c:pt>
                  <c:pt idx="21">
                    <c:v>16376.126078609572</c:v>
                  </c:pt>
                  <c:pt idx="22">
                    <c:v>16935.308983845458</c:v>
                  </c:pt>
                  <c:pt idx="23">
                    <c:v>17465.558197765513</c:v>
                  </c:pt>
                  <c:pt idx="24">
                    <c:v>17965.967798482474</c:v>
                  </c:pt>
                  <c:pt idx="25">
                    <c:v>18435.682844587689</c:v>
                  </c:pt>
                  <c:pt idx="26">
                    <c:v>18873.900835804168</c:v>
                  </c:pt>
                  <c:pt idx="27">
                    <c:v>19279.873084044852</c:v>
                  </c:pt>
                  <c:pt idx="28">
                    <c:v>19652.905992533644</c:v>
                  </c:pt>
                  <c:pt idx="29">
                    <c:v>19992.362240803868</c:v>
                  </c:pt>
                  <c:pt idx="30">
                    <c:v>20297.661873549601</c:v>
                  </c:pt>
                  <c:pt idx="31">
                    <c:v>20568.283291469575</c:v>
                  </c:pt>
                  <c:pt idx="32">
                    <c:v>20803.764142410841</c:v>
                  </c:pt>
                </c:numCache>
              </c:numRef>
            </c:plus>
            <c:minus>
              <c:numRef>
                <c:f>Sheet1!$R$3:$R$35</c:f>
                <c:numCache>
                  <c:formatCode>General</c:formatCode>
                  <c:ptCount val="33"/>
                  <c:pt idx="0">
                    <c:v>0</c:v>
                  </c:pt>
                  <c:pt idx="1">
                    <c:v>886.85246710806723</c:v>
                  </c:pt>
                  <c:pt idx="2">
                    <c:v>1772.1897616526776</c:v>
                  </c:pt>
                  <c:pt idx="3">
                    <c:v>2654.4992997172822</c:v>
                  </c:pt>
                  <c:pt idx="4">
                    <c:v>3532.2736702564898</c:v>
                  </c:pt>
                  <c:pt idx="5">
                    <c:v>4404.0132104825489</c:v>
                  </c:pt>
                  <c:pt idx="6">
                    <c:v>5268.2285680140676</c:v>
                  </c:pt>
                  <c:pt idx="7">
                    <c:v>6123.4432454095713</c:v>
                  </c:pt>
                  <c:pt idx="8">
                    <c:v>6968.1961227386173</c:v>
                  </c:pt>
                  <c:pt idx="9">
                    <c:v>7801.0439538806822</c:v>
                  </c:pt>
                  <c:pt idx="10">
                    <c:v>8620.563832286949</c:v>
                  </c:pt>
                  <c:pt idx="11">
                    <c:v>9425.3556219922793</c:v>
                  </c:pt>
                  <c:pt idx="12">
                    <c:v>10214.04434972403</c:v>
                  </c:pt>
                  <c:pt idx="13">
                    <c:v>10985.282554020807</c:v>
                  </c:pt>
                  <c:pt idx="14">
                    <c:v>11737.752587347777</c:v>
                  </c:pt>
                  <c:pt idx="15">
                    <c:v>12470.168867275395</c:v>
                  </c:pt>
                  <c:pt idx="16">
                    <c:v>13181.280072875394</c:v>
                  </c:pt>
                  <c:pt idx="17">
                    <c:v>13869.871282581613</c:v>
                  </c:pt>
                  <c:pt idx="18">
                    <c:v>14534.766049863112</c:v>
                  </c:pt>
                  <c:pt idx="19">
                    <c:v>15174.828413163335</c:v>
                  </c:pt>
                  <c:pt idx="20">
                    <c:v>15788.964836671379</c:v>
                  </c:pt>
                  <c:pt idx="21">
                    <c:v>16376.126078609572</c:v>
                  </c:pt>
                  <c:pt idx="22">
                    <c:v>16935.308983845458</c:v>
                  </c:pt>
                  <c:pt idx="23">
                    <c:v>17465.558197765513</c:v>
                  </c:pt>
                  <c:pt idx="24">
                    <c:v>17965.967798482474</c:v>
                  </c:pt>
                  <c:pt idx="25">
                    <c:v>18435.682844587689</c:v>
                  </c:pt>
                  <c:pt idx="26">
                    <c:v>18873.900835804168</c:v>
                  </c:pt>
                  <c:pt idx="27">
                    <c:v>19279.873084044852</c:v>
                  </c:pt>
                  <c:pt idx="28">
                    <c:v>19652.905992533644</c:v>
                  </c:pt>
                  <c:pt idx="29">
                    <c:v>19992.362240803868</c:v>
                  </c:pt>
                  <c:pt idx="30">
                    <c:v>20297.661873549601</c:v>
                  </c:pt>
                  <c:pt idx="31">
                    <c:v>20568.283291469575</c:v>
                  </c:pt>
                  <c:pt idx="32">
                    <c:v>20803.764142410841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Sheet1!$D$3:$D$35</c:f>
              <c:numCache>
                <c:formatCode>0.000</c:formatCode>
                <c:ptCount val="33"/>
                <c:pt idx="0">
                  <c:v>0</c:v>
                </c:pt>
                <c:pt idx="1">
                  <c:v>8.2673490883941922E-2</c:v>
                </c:pt>
                <c:pt idx="2">
                  <c:v>0.16534698176788384</c:v>
                </c:pt>
                <c:pt idx="3">
                  <c:v>0.24802047265182578</c:v>
                </c:pt>
                <c:pt idx="4">
                  <c:v>0.33069396353576769</c:v>
                </c:pt>
                <c:pt idx="5">
                  <c:v>0.41336745441970962</c:v>
                </c:pt>
                <c:pt idx="6">
                  <c:v>0.49604094530365156</c:v>
                </c:pt>
                <c:pt idx="7">
                  <c:v>0.57871443618759344</c:v>
                </c:pt>
                <c:pt idx="8">
                  <c:v>0.66138792707153538</c:v>
                </c:pt>
                <c:pt idx="9">
                  <c:v>0.74406141795547731</c:v>
                </c:pt>
                <c:pt idx="10">
                  <c:v>0.82673490883941925</c:v>
                </c:pt>
                <c:pt idx="11">
                  <c:v>0.90940839972336107</c:v>
                </c:pt>
                <c:pt idx="12">
                  <c:v>0.99208189060730312</c:v>
                </c:pt>
                <c:pt idx="13">
                  <c:v>1.0747553814912452</c:v>
                </c:pt>
                <c:pt idx="14">
                  <c:v>1.1574288723751869</c:v>
                </c:pt>
                <c:pt idx="15">
                  <c:v>1.2401023632591288</c:v>
                </c:pt>
                <c:pt idx="16">
                  <c:v>1.3227758541430708</c:v>
                </c:pt>
                <c:pt idx="17">
                  <c:v>1.4054493450270129</c:v>
                </c:pt>
                <c:pt idx="18">
                  <c:v>1.4881228359109546</c:v>
                </c:pt>
                <c:pt idx="19">
                  <c:v>1.5707963267948966</c:v>
                </c:pt>
                <c:pt idx="20">
                  <c:v>1.6534698176788385</c:v>
                </c:pt>
                <c:pt idx="21">
                  <c:v>1.7361433085627804</c:v>
                </c:pt>
                <c:pt idx="22">
                  <c:v>1.8188167994467221</c:v>
                </c:pt>
                <c:pt idx="23">
                  <c:v>1.9014902903306641</c:v>
                </c:pt>
                <c:pt idx="24">
                  <c:v>1.9841637812146062</c:v>
                </c:pt>
                <c:pt idx="25">
                  <c:v>2.0668372720985482</c:v>
                </c:pt>
                <c:pt idx="26">
                  <c:v>2.1495107629824903</c:v>
                </c:pt>
                <c:pt idx="27">
                  <c:v>2.232184253866432</c:v>
                </c:pt>
                <c:pt idx="28">
                  <c:v>2.3148577447503738</c:v>
                </c:pt>
                <c:pt idx="29">
                  <c:v>2.3975312356343159</c:v>
                </c:pt>
                <c:pt idx="30">
                  <c:v>2.4802047265182576</c:v>
                </c:pt>
                <c:pt idx="31">
                  <c:v>2.5628782174021993</c:v>
                </c:pt>
                <c:pt idx="32">
                  <c:v>2.6455517082861415</c:v>
                </c:pt>
              </c:numCache>
            </c:numRef>
          </c:xVal>
          <c:yVal>
            <c:numRef>
              <c:f>Sheet1!$Q$3:$Q$35</c:f>
              <c:numCache>
                <c:formatCode>0.00E+00</c:formatCode>
                <c:ptCount val="33"/>
                <c:pt idx="0">
                  <c:v>0</c:v>
                </c:pt>
                <c:pt idx="1">
                  <c:v>5912.3497807204503</c:v>
                </c:pt>
                <c:pt idx="2">
                  <c:v>11814.598411017856</c:v>
                </c:pt>
                <c:pt idx="3">
                  <c:v>17696.661998115225</c:v>
                </c:pt>
                <c:pt idx="4">
                  <c:v>23548.491135043274</c:v>
                </c:pt>
                <c:pt idx="5">
                  <c:v>29360.08806988367</c:v>
                </c:pt>
                <c:pt idx="6">
                  <c:v>35121.523786760466</c:v>
                </c:pt>
                <c:pt idx="7">
                  <c:v>40822.954969397164</c:v>
                </c:pt>
                <c:pt idx="8">
                  <c:v>46454.640818257474</c:v>
                </c:pt>
                <c:pt idx="9">
                  <c:v>52006.959692537901</c:v>
                </c:pt>
                <c:pt idx="10">
                  <c:v>57470.425548579682</c:v>
                </c:pt>
                <c:pt idx="11">
                  <c:v>62835.70414661523</c:v>
                </c:pt>
                <c:pt idx="12">
                  <c:v>68093.628998160231</c:v>
                </c:pt>
                <c:pt idx="13">
                  <c:v>73235.217026805403</c:v>
                </c:pt>
                <c:pt idx="14">
                  <c:v>78251.683915651884</c:v>
                </c:pt>
                <c:pt idx="15">
                  <c:v>83134.459115169331</c:v>
                </c:pt>
                <c:pt idx="16">
                  <c:v>87875.200485836001</c:v>
                </c:pt>
                <c:pt idx="17">
                  <c:v>92465.808550544127</c:v>
                </c:pt>
                <c:pt idx="18">
                  <c:v>96898.440332420796</c:v>
                </c:pt>
                <c:pt idx="19">
                  <c:v>101165.52275442229</c:v>
                </c:pt>
                <c:pt idx="20">
                  <c:v>105259.76557780924</c:v>
                </c:pt>
                <c:pt idx="21">
                  <c:v>109174.1738573972</c:v>
                </c:pt>
                <c:pt idx="22">
                  <c:v>112902.05989230311</c:v>
                </c:pt>
                <c:pt idx="23">
                  <c:v>116437.05465177013</c:v>
                </c:pt>
                <c:pt idx="24">
                  <c:v>119773.11865654988</c:v>
                </c:pt>
                <c:pt idx="25">
                  <c:v>122904.55229725131</c:v>
                </c:pt>
                <c:pt idx="26">
                  <c:v>125826.00557202785</c:v>
                </c:pt>
                <c:pt idx="27">
                  <c:v>128532.48722696574</c:v>
                </c:pt>
                <c:pt idx="28">
                  <c:v>131019.37328355768</c:v>
                </c:pt>
                <c:pt idx="29">
                  <c:v>133282.41493869253</c:v>
                </c:pt>
                <c:pt idx="30">
                  <c:v>135317.74582366407</c:v>
                </c:pt>
                <c:pt idx="31">
                  <c:v>137121.88860979723</c:v>
                </c:pt>
                <c:pt idx="32">
                  <c:v>138691.76094940567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9-4054-8511-268937BE8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96784"/>
        <c:axId val="559896304"/>
      </c:scatterChart>
      <c:valAx>
        <c:axId val="55989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 (sections^-1)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6304"/>
        <c:crosses val="autoZero"/>
        <c:crossBetween val="midCat"/>
      </c:valAx>
      <c:valAx>
        <c:axId val="5598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Phase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Sheet1!$E$4:$E$35</c:f>
              <c:numCache>
                <c:formatCode>0</c:formatCode>
                <c:ptCount val="32"/>
                <c:pt idx="0">
                  <c:v>5900</c:v>
                </c:pt>
                <c:pt idx="1">
                  <c:v>11800</c:v>
                </c:pt>
                <c:pt idx="2">
                  <c:v>17800</c:v>
                </c:pt>
                <c:pt idx="3">
                  <c:v>23600</c:v>
                </c:pt>
                <c:pt idx="4">
                  <c:v>29500</c:v>
                </c:pt>
                <c:pt idx="5">
                  <c:v>35100</c:v>
                </c:pt>
                <c:pt idx="6">
                  <c:v>41200</c:v>
                </c:pt>
                <c:pt idx="7">
                  <c:v>46700</c:v>
                </c:pt>
                <c:pt idx="8">
                  <c:v>52100</c:v>
                </c:pt>
                <c:pt idx="9">
                  <c:v>57600</c:v>
                </c:pt>
                <c:pt idx="10">
                  <c:v>63400</c:v>
                </c:pt>
                <c:pt idx="11">
                  <c:v>69200</c:v>
                </c:pt>
                <c:pt idx="12">
                  <c:v>73700</c:v>
                </c:pt>
                <c:pt idx="13">
                  <c:v>79400</c:v>
                </c:pt>
                <c:pt idx="14">
                  <c:v>83900</c:v>
                </c:pt>
                <c:pt idx="15">
                  <c:v>89200</c:v>
                </c:pt>
                <c:pt idx="16">
                  <c:v>93750</c:v>
                </c:pt>
                <c:pt idx="17">
                  <c:v>98250</c:v>
                </c:pt>
                <c:pt idx="18">
                  <c:v>102400</c:v>
                </c:pt>
                <c:pt idx="19">
                  <c:v>107600</c:v>
                </c:pt>
                <c:pt idx="20">
                  <c:v>111400</c:v>
                </c:pt>
                <c:pt idx="21">
                  <c:v>115900</c:v>
                </c:pt>
                <c:pt idx="22">
                  <c:v>119100</c:v>
                </c:pt>
                <c:pt idx="23">
                  <c:v>122800</c:v>
                </c:pt>
                <c:pt idx="24">
                  <c:v>125850</c:v>
                </c:pt>
                <c:pt idx="25">
                  <c:v>129700</c:v>
                </c:pt>
                <c:pt idx="26">
                  <c:v>132400</c:v>
                </c:pt>
                <c:pt idx="27">
                  <c:v>135900</c:v>
                </c:pt>
                <c:pt idx="28">
                  <c:v>138750</c:v>
                </c:pt>
                <c:pt idx="29">
                  <c:v>141100</c:v>
                </c:pt>
                <c:pt idx="30">
                  <c:v>143350</c:v>
                </c:pt>
                <c:pt idx="31">
                  <c:v>145300</c:v>
                </c:pt>
              </c:numCache>
            </c:numRef>
          </c:xVal>
          <c:yVal>
            <c:numRef>
              <c:f>Sheet1!$O$4:$O$35</c:f>
              <c:numCache>
                <c:formatCode>0.000E+00</c:formatCode>
                <c:ptCount val="32"/>
                <c:pt idx="0">
                  <c:v>448400</c:v>
                </c:pt>
                <c:pt idx="1">
                  <c:v>448400</c:v>
                </c:pt>
                <c:pt idx="2">
                  <c:v>450933.33333333331</c:v>
                </c:pt>
                <c:pt idx="3">
                  <c:v>448400</c:v>
                </c:pt>
                <c:pt idx="4">
                  <c:v>448400</c:v>
                </c:pt>
                <c:pt idx="5">
                  <c:v>444600</c:v>
                </c:pt>
                <c:pt idx="6">
                  <c:v>447314.28571428574</c:v>
                </c:pt>
                <c:pt idx="7">
                  <c:v>443650</c:v>
                </c:pt>
                <c:pt idx="8">
                  <c:v>439955.55555555556</c:v>
                </c:pt>
                <c:pt idx="9">
                  <c:v>437760</c:v>
                </c:pt>
                <c:pt idx="10">
                  <c:v>438036.36363636371</c:v>
                </c:pt>
                <c:pt idx="11">
                  <c:v>438266.66666666663</c:v>
                </c:pt>
                <c:pt idx="12">
                  <c:v>430861.53846153838</c:v>
                </c:pt>
                <c:pt idx="13">
                  <c:v>431028.57142857142</c:v>
                </c:pt>
                <c:pt idx="14">
                  <c:v>425093.33333333331</c:v>
                </c:pt>
                <c:pt idx="15">
                  <c:v>423700</c:v>
                </c:pt>
                <c:pt idx="16">
                  <c:v>419117.6470588235</c:v>
                </c:pt>
                <c:pt idx="17">
                  <c:v>414833.33333333331</c:v>
                </c:pt>
                <c:pt idx="18">
                  <c:v>409600</c:v>
                </c:pt>
                <c:pt idx="19">
                  <c:v>408880</c:v>
                </c:pt>
                <c:pt idx="20">
                  <c:v>403161.90476190473</c:v>
                </c:pt>
                <c:pt idx="21">
                  <c:v>400381.81818181823</c:v>
                </c:pt>
                <c:pt idx="22">
                  <c:v>393547.8260869566</c:v>
                </c:pt>
                <c:pt idx="23">
                  <c:v>388866.66666666663</c:v>
                </c:pt>
                <c:pt idx="24">
                  <c:v>382584</c:v>
                </c:pt>
                <c:pt idx="25">
                  <c:v>379123.07692307688</c:v>
                </c:pt>
                <c:pt idx="26">
                  <c:v>372681.48148148146</c:v>
                </c:pt>
                <c:pt idx="27">
                  <c:v>368871.42857142858</c:v>
                </c:pt>
                <c:pt idx="28">
                  <c:v>363620.68965517241</c:v>
                </c:pt>
                <c:pt idx="29">
                  <c:v>357453.33333333331</c:v>
                </c:pt>
                <c:pt idx="30">
                  <c:v>351438.70967741939</c:v>
                </c:pt>
                <c:pt idx="31">
                  <c:v>345087.5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E-4266-BAAB-D589700E9E49}"/>
            </c:ext>
          </c:extLst>
        </c:ser>
        <c:ser>
          <c:idx val="1"/>
          <c:order val="1"/>
          <c:tx>
            <c:v>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Sheet1!$E$4:$E$35</c:f>
              <c:numCache>
                <c:formatCode>0</c:formatCode>
                <c:ptCount val="32"/>
                <c:pt idx="0">
                  <c:v>5900</c:v>
                </c:pt>
                <c:pt idx="1">
                  <c:v>11800</c:v>
                </c:pt>
                <c:pt idx="2">
                  <c:v>17800</c:v>
                </c:pt>
                <c:pt idx="3">
                  <c:v>23600</c:v>
                </c:pt>
                <c:pt idx="4">
                  <c:v>29500</c:v>
                </c:pt>
                <c:pt idx="5">
                  <c:v>35100</c:v>
                </c:pt>
                <c:pt idx="6">
                  <c:v>41200</c:v>
                </c:pt>
                <c:pt idx="7">
                  <c:v>46700</c:v>
                </c:pt>
                <c:pt idx="8">
                  <c:v>52100</c:v>
                </c:pt>
                <c:pt idx="9">
                  <c:v>57600</c:v>
                </c:pt>
                <c:pt idx="10">
                  <c:v>63400</c:v>
                </c:pt>
                <c:pt idx="11">
                  <c:v>69200</c:v>
                </c:pt>
                <c:pt idx="12">
                  <c:v>73700</c:v>
                </c:pt>
                <c:pt idx="13">
                  <c:v>79400</c:v>
                </c:pt>
                <c:pt idx="14">
                  <c:v>83900</c:v>
                </c:pt>
                <c:pt idx="15">
                  <c:v>89200</c:v>
                </c:pt>
                <c:pt idx="16">
                  <c:v>93750</c:v>
                </c:pt>
                <c:pt idx="17">
                  <c:v>98250</c:v>
                </c:pt>
                <c:pt idx="18">
                  <c:v>102400</c:v>
                </c:pt>
                <c:pt idx="19">
                  <c:v>107600</c:v>
                </c:pt>
                <c:pt idx="20">
                  <c:v>111400</c:v>
                </c:pt>
                <c:pt idx="21">
                  <c:v>115900</c:v>
                </c:pt>
                <c:pt idx="22">
                  <c:v>119100</c:v>
                </c:pt>
                <c:pt idx="23">
                  <c:v>122800</c:v>
                </c:pt>
                <c:pt idx="24">
                  <c:v>125850</c:v>
                </c:pt>
                <c:pt idx="25">
                  <c:v>129700</c:v>
                </c:pt>
                <c:pt idx="26">
                  <c:v>132400</c:v>
                </c:pt>
                <c:pt idx="27">
                  <c:v>135900</c:v>
                </c:pt>
                <c:pt idx="28">
                  <c:v>138750</c:v>
                </c:pt>
                <c:pt idx="29">
                  <c:v>141100</c:v>
                </c:pt>
                <c:pt idx="30">
                  <c:v>143350</c:v>
                </c:pt>
                <c:pt idx="31">
                  <c:v>145300</c:v>
                </c:pt>
              </c:numCache>
            </c:numRef>
          </c:xVal>
          <c:yVal>
            <c:numRef>
              <c:f>Sheet1!$P$4:$P$35</c:f>
              <c:numCache>
                <c:formatCode>0.00E+00</c:formatCode>
                <c:ptCount val="32"/>
                <c:pt idx="0">
                  <c:v>446880</c:v>
                </c:pt>
                <c:pt idx="1">
                  <c:v>448400</c:v>
                </c:pt>
                <c:pt idx="2">
                  <c:v>455999.99999999994</c:v>
                </c:pt>
                <c:pt idx="3">
                  <c:v>440800.00000000006</c:v>
                </c:pt>
                <c:pt idx="4">
                  <c:v>448399.99999999994</c:v>
                </c:pt>
                <c:pt idx="5">
                  <c:v>425599.99999999988</c:v>
                </c:pt>
                <c:pt idx="6">
                  <c:v>463600.00000000023</c:v>
                </c:pt>
                <c:pt idx="7">
                  <c:v>417999.99999999988</c:v>
                </c:pt>
                <c:pt idx="8">
                  <c:v>410400</c:v>
                </c:pt>
                <c:pt idx="9">
                  <c:v>417999.99999999988</c:v>
                </c:pt>
                <c:pt idx="10">
                  <c:v>440800.00000000052</c:v>
                </c:pt>
                <c:pt idx="11">
                  <c:v>440799.9999999993</c:v>
                </c:pt>
                <c:pt idx="12">
                  <c:v>341999.99999999953</c:v>
                </c:pt>
                <c:pt idx="13">
                  <c:v>433200.00000000105</c:v>
                </c:pt>
                <c:pt idx="14">
                  <c:v>341999.99999999994</c:v>
                </c:pt>
                <c:pt idx="15">
                  <c:v>402800</c:v>
                </c:pt>
                <c:pt idx="16">
                  <c:v>345799.99999999907</c:v>
                </c:pt>
                <c:pt idx="17">
                  <c:v>342000.00000000087</c:v>
                </c:pt>
                <c:pt idx="18">
                  <c:v>315399.99999999994</c:v>
                </c:pt>
                <c:pt idx="19">
                  <c:v>395199.99999999994</c:v>
                </c:pt>
                <c:pt idx="20">
                  <c:v>288799.99999999994</c:v>
                </c:pt>
                <c:pt idx="21">
                  <c:v>342000.00000000087</c:v>
                </c:pt>
                <c:pt idx="22">
                  <c:v>243199.99999999997</c:v>
                </c:pt>
                <c:pt idx="23">
                  <c:v>281199.99999999919</c:v>
                </c:pt>
                <c:pt idx="24">
                  <c:v>231799.99999999997</c:v>
                </c:pt>
                <c:pt idx="25">
                  <c:v>292599.99999999919</c:v>
                </c:pt>
                <c:pt idx="26">
                  <c:v>205200.00000000055</c:v>
                </c:pt>
                <c:pt idx="27">
                  <c:v>266000.00000000064</c:v>
                </c:pt>
                <c:pt idx="28">
                  <c:v>216599.99999999936</c:v>
                </c:pt>
                <c:pt idx="29">
                  <c:v>178600.00000000044</c:v>
                </c:pt>
                <c:pt idx="30">
                  <c:v>171000.00000000044</c:v>
                </c:pt>
                <c:pt idx="31">
                  <c:v>148199.99999999959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8E-4266-BAAB-D589700E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678336"/>
        <c:axId val="561675936"/>
      </c:scatterChart>
      <c:valAx>
        <c:axId val="56167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75936"/>
        <c:crosses val="autoZero"/>
        <c:crossBetween val="midCat"/>
      </c:valAx>
      <c:valAx>
        <c:axId val="5616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(sections/s)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7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109537</xdr:colOff>
      <xdr:row>0</xdr:row>
      <xdr:rowOff>4762</xdr:rowOff>
    </xdr:from>
    <xdr:to>
      <xdr:col>25</xdr:col>
      <xdr:colOff>414337</xdr:colOff>
      <xdr:row>14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7D7C9-B6E0-723A-3BDD-9B64D1ED2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90487</xdr:colOff>
      <xdr:row>14</xdr:row>
      <xdr:rowOff>109537</xdr:rowOff>
    </xdr:from>
    <xdr:to>
      <xdr:col>26</xdr:col>
      <xdr:colOff>33337</xdr:colOff>
      <xdr:row>28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0F247-E580-9C4C-DF56-8C2BB08AE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90487</xdr:colOff>
      <xdr:row>29</xdr:row>
      <xdr:rowOff>52387</xdr:rowOff>
    </xdr:from>
    <xdr:to>
      <xdr:col>26</xdr:col>
      <xdr:colOff>33337</xdr:colOff>
      <xdr:row>43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0DAFC1-E20A-43D9-4727-37F0E7FA9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6CA6-FD9C-49C3-B77C-956FA8CD82CE}">
  <dimension ref="A1:S36"/>
  <sheetViews>
    <sheetView tabSelected="1" workbookViewId="0">
      <selection activeCell="C17" sqref="C17"/>
    </sheetView>
  </sheetViews>
  <sheetFormatPr baseColWidth="10" defaultColWidth="8.88671875" defaultRowHeight="14.4" x14ac:dyDescent="0.3"/>
  <cols>
    <col min="1" max="1" width="9.88671875" style="1" customWidth="1"/>
    <col min="3" max="3" width="9.44140625" customWidth="1"/>
    <col min="4" max="4" width="11.6640625" style="4" customWidth="1"/>
    <col min="5" max="5" width="11.109375" style="5" customWidth="1"/>
    <col min="6" max="6" width="11.33203125" style="5" customWidth="1"/>
    <col min="7" max="7" width="9.44140625" customWidth="1"/>
    <col min="8" max="8" width="9.33203125" customWidth="1"/>
    <col min="10" max="10" width="8.5546875" customWidth="1"/>
    <col min="11" max="11" width="10.88671875" customWidth="1"/>
    <col min="12" max="12" width="8.33203125" customWidth="1"/>
    <col min="13" max="13" width="9.109375" customWidth="1"/>
    <col min="14" max="14" width="8.5546875" customWidth="1"/>
    <col min="15" max="15" width="14.33203125" style="6" customWidth="1"/>
    <col min="16" max="16" width="14.109375" customWidth="1"/>
    <col min="17" max="17" width="13.88671875" customWidth="1"/>
  </cols>
  <sheetData>
    <row r="1" spans="1:19" x14ac:dyDescent="0.3">
      <c r="A1" s="1" t="s">
        <v>6</v>
      </c>
      <c r="B1">
        <v>38</v>
      </c>
      <c r="C1" t="s">
        <v>19</v>
      </c>
      <c r="D1" s="4">
        <v>5</v>
      </c>
      <c r="E1" s="5" t="s">
        <v>22</v>
      </c>
      <c r="F1" s="5">
        <f>1/PI()*SQRT(1/J1/N1)</f>
        <v>143069.65432386796</v>
      </c>
      <c r="G1" t="s">
        <v>23</v>
      </c>
      <c r="H1" s="5">
        <f>1/PI()*(0.5*L1*J1^(-1.5)*N1^(-0.5)+0.5*P1*J1^(-0.5)*N1^(-1.5))</f>
        <v>21460.448148580184</v>
      </c>
      <c r="I1" t="s">
        <v>10</v>
      </c>
      <c r="J1" s="6">
        <v>3.3E-4</v>
      </c>
      <c r="K1" t="s">
        <v>20</v>
      </c>
      <c r="L1" s="6">
        <f>0.2*J1</f>
        <v>6.6000000000000005E-5</v>
      </c>
      <c r="M1" t="s">
        <v>11</v>
      </c>
      <c r="N1" s="6">
        <v>1.4999999999999999E-8</v>
      </c>
      <c r="O1" s="6" t="s">
        <v>21</v>
      </c>
      <c r="P1" s="6">
        <f>0.1*N1</f>
        <v>1.5E-9</v>
      </c>
    </row>
    <row r="2" spans="1:19" x14ac:dyDescent="0.3">
      <c r="A2" s="2" t="s">
        <v>0</v>
      </c>
      <c r="B2" t="s">
        <v>1</v>
      </c>
      <c r="C2" t="s">
        <v>13</v>
      </c>
      <c r="D2" s="4" t="s">
        <v>14</v>
      </c>
      <c r="E2" s="5" t="s">
        <v>4</v>
      </c>
      <c r="F2" s="5" t="s">
        <v>9</v>
      </c>
      <c r="G2" t="s">
        <v>12</v>
      </c>
      <c r="H2" t="s">
        <v>18</v>
      </c>
      <c r="I2" t="s">
        <v>7</v>
      </c>
      <c r="J2" t="s">
        <v>5</v>
      </c>
      <c r="K2" t="s">
        <v>8</v>
      </c>
      <c r="L2" t="s">
        <v>5</v>
      </c>
      <c r="M2" t="s">
        <v>3</v>
      </c>
      <c r="N2" t="s">
        <v>2</v>
      </c>
      <c r="O2" t="s">
        <v>15</v>
      </c>
      <c r="P2" t="s">
        <v>16</v>
      </c>
      <c r="Q2" s="6" t="s">
        <v>17</v>
      </c>
      <c r="R2" t="s">
        <v>2</v>
      </c>
    </row>
    <row r="3" spans="1:19" x14ac:dyDescent="0.3">
      <c r="A3" s="2">
        <v>0</v>
      </c>
      <c r="B3">
        <v>1</v>
      </c>
      <c r="C3">
        <v>0</v>
      </c>
      <c r="D3" s="4">
        <f t="shared" ref="D3:D35" si="0">PI()*A3/$B$1</f>
        <v>0</v>
      </c>
      <c r="E3" s="5">
        <v>20</v>
      </c>
      <c r="F3" s="5">
        <f t="shared" ref="F3:F35" si="1">SQRT($J$1/$N$1)/SQRT(1-(E3/$F$1)^2)</f>
        <v>148.3239711911732</v>
      </c>
      <c r="G3">
        <v>149</v>
      </c>
      <c r="H3">
        <v>1</v>
      </c>
      <c r="I3" s="3">
        <v>2.76</v>
      </c>
      <c r="J3">
        <v>0.01</v>
      </c>
      <c r="K3" s="3">
        <v>2.41</v>
      </c>
      <c r="L3">
        <v>0.01</v>
      </c>
      <c r="M3" s="4">
        <f>K3/I3</f>
        <v>0.87318840579710155</v>
      </c>
      <c r="N3" s="4">
        <f>SQRT((L3/I3)^2+(J3*K3/I3^2)^2)</f>
        <v>4.8100579113035139E-3</v>
      </c>
      <c r="O3" t="e">
        <f t="shared" ref="O3:O35" si="2">E3*2*PI()/D3</f>
        <v>#DIV/0!</v>
      </c>
      <c r="Q3" s="6">
        <f t="shared" ref="Q3:Q35" si="3">$F$1*SIN(D3/2)</f>
        <v>0</v>
      </c>
      <c r="R3" s="6">
        <f t="shared" ref="R3:R35" si="4">$H$1*SIN(D3/2)</f>
        <v>0</v>
      </c>
      <c r="S3" s="6"/>
    </row>
    <row r="4" spans="1:19" x14ac:dyDescent="0.3">
      <c r="A4" s="2">
        <v>1</v>
      </c>
      <c r="B4">
        <v>0</v>
      </c>
      <c r="C4">
        <v>1</v>
      </c>
      <c r="D4" s="4">
        <f t="shared" si="0"/>
        <v>8.2673490883941922E-2</v>
      </c>
      <c r="E4" s="5">
        <v>5900</v>
      </c>
      <c r="F4" s="5">
        <f t="shared" si="1"/>
        <v>148.45025267899771</v>
      </c>
      <c r="G4">
        <v>149</v>
      </c>
      <c r="H4">
        <v>1</v>
      </c>
      <c r="I4" s="3">
        <v>2.5499999999999998</v>
      </c>
      <c r="J4">
        <v>0.01</v>
      </c>
      <c r="K4" s="3">
        <v>2.34</v>
      </c>
      <c r="L4">
        <v>0.01</v>
      </c>
      <c r="M4" s="4">
        <f t="shared" ref="M4:M35" si="5">K4/I4</f>
        <v>0.91764705882352937</v>
      </c>
      <c r="N4" s="4">
        <f t="shared" ref="N4:N23" si="6">SQRT((L4/I4)^2+(J4*K4/I4^2)^2)</f>
        <v>5.3224747080253716E-3</v>
      </c>
      <c r="O4" s="7">
        <f t="shared" si="2"/>
        <v>448400</v>
      </c>
      <c r="P4" s="6">
        <f t="shared" ref="P4:P35" si="7">(E4-E3)*2*PI()/(D4-D3)</f>
        <v>446880</v>
      </c>
      <c r="Q4" s="6">
        <f t="shared" si="3"/>
        <v>5912.3497807204503</v>
      </c>
      <c r="R4" s="6">
        <f t="shared" si="4"/>
        <v>886.85246710806723</v>
      </c>
      <c r="S4" s="6"/>
    </row>
    <row r="5" spans="1:19" x14ac:dyDescent="0.3">
      <c r="A5" s="2">
        <v>2</v>
      </c>
      <c r="B5">
        <v>1</v>
      </c>
      <c r="C5">
        <v>2</v>
      </c>
      <c r="D5" s="4">
        <f t="shared" si="0"/>
        <v>0.16534698176788384</v>
      </c>
      <c r="E5" s="5">
        <v>11800</v>
      </c>
      <c r="F5" s="5">
        <f t="shared" si="1"/>
        <v>148.83104563027135</v>
      </c>
      <c r="G5">
        <v>149</v>
      </c>
      <c r="H5">
        <v>1</v>
      </c>
      <c r="I5" s="3">
        <v>2.41</v>
      </c>
      <c r="J5">
        <v>0.01</v>
      </c>
      <c r="K5" s="3">
        <v>2.29</v>
      </c>
      <c r="L5">
        <v>0.01</v>
      </c>
      <c r="M5" s="4">
        <f t="shared" si="5"/>
        <v>0.950207468879668</v>
      </c>
      <c r="N5" s="4">
        <f t="shared" si="6"/>
        <v>5.7238768659467866E-3</v>
      </c>
      <c r="O5" s="7">
        <f t="shared" si="2"/>
        <v>448400</v>
      </c>
      <c r="P5" s="6">
        <f t="shared" si="7"/>
        <v>448400</v>
      </c>
      <c r="Q5" s="6">
        <f t="shared" si="3"/>
        <v>11814.598411017856</v>
      </c>
      <c r="R5" s="6">
        <f t="shared" si="4"/>
        <v>1772.1897616526776</v>
      </c>
      <c r="S5" s="6"/>
    </row>
    <row r="6" spans="1:19" x14ac:dyDescent="0.3">
      <c r="A6" s="2">
        <v>3</v>
      </c>
      <c r="B6">
        <v>0</v>
      </c>
      <c r="C6">
        <v>3</v>
      </c>
      <c r="D6" s="4">
        <f t="shared" si="0"/>
        <v>0.24802047265182578</v>
      </c>
      <c r="E6" s="5">
        <v>17800</v>
      </c>
      <c r="F6" s="5">
        <f t="shared" si="1"/>
        <v>149.48542979361582</v>
      </c>
      <c r="G6">
        <v>149</v>
      </c>
      <c r="H6">
        <v>1</v>
      </c>
      <c r="I6" s="3">
        <v>2.4500000000000002</v>
      </c>
      <c r="J6">
        <v>0.01</v>
      </c>
      <c r="K6" s="3">
        <v>2.23</v>
      </c>
      <c r="L6">
        <v>0.01</v>
      </c>
      <c r="M6" s="4">
        <f t="shared" si="5"/>
        <v>0.91020408163265298</v>
      </c>
      <c r="N6" s="4">
        <f t="shared" si="6"/>
        <v>5.5192238651506362E-3</v>
      </c>
      <c r="O6" s="7">
        <f t="shared" si="2"/>
        <v>450933.33333333331</v>
      </c>
      <c r="P6" s="6">
        <f t="shared" si="7"/>
        <v>455999.99999999994</v>
      </c>
      <c r="Q6" s="6">
        <f t="shared" si="3"/>
        <v>17696.661998115225</v>
      </c>
      <c r="R6" s="6">
        <f t="shared" si="4"/>
        <v>2654.4992997172822</v>
      </c>
      <c r="S6" s="6"/>
    </row>
    <row r="7" spans="1:19" x14ac:dyDescent="0.3">
      <c r="A7" s="2">
        <v>4</v>
      </c>
      <c r="B7">
        <v>1</v>
      </c>
      <c r="C7">
        <v>4</v>
      </c>
      <c r="D7" s="4">
        <f t="shared" si="0"/>
        <v>0.33069396353576769</v>
      </c>
      <c r="E7" s="5">
        <v>23600</v>
      </c>
      <c r="F7" s="5">
        <f t="shared" si="1"/>
        <v>150.38405717010852</v>
      </c>
      <c r="G7">
        <v>149</v>
      </c>
      <c r="H7">
        <v>1</v>
      </c>
      <c r="I7" s="3">
        <v>2.67</v>
      </c>
      <c r="J7">
        <v>0.01</v>
      </c>
      <c r="K7" s="3">
        <v>2.1800000000000002</v>
      </c>
      <c r="L7">
        <v>0.01</v>
      </c>
      <c r="M7" s="4">
        <f t="shared" si="5"/>
        <v>0.81647940074906378</v>
      </c>
      <c r="N7" s="4">
        <f t="shared" si="6"/>
        <v>4.8351445060125786E-3</v>
      </c>
      <c r="O7" s="7">
        <f t="shared" si="2"/>
        <v>448400</v>
      </c>
      <c r="P7" s="6">
        <f t="shared" si="7"/>
        <v>440800.00000000006</v>
      </c>
      <c r="Q7" s="6">
        <f t="shared" si="3"/>
        <v>23548.491135043274</v>
      </c>
      <c r="R7" s="6">
        <f t="shared" si="4"/>
        <v>3532.2736702564898</v>
      </c>
      <c r="S7" s="6"/>
    </row>
    <row r="8" spans="1:19" x14ac:dyDescent="0.3">
      <c r="A8" s="2">
        <v>5</v>
      </c>
      <c r="B8">
        <v>0</v>
      </c>
      <c r="C8">
        <v>5</v>
      </c>
      <c r="D8" s="4">
        <f t="shared" si="0"/>
        <v>0.41336745441970962</v>
      </c>
      <c r="E8" s="5">
        <v>29500</v>
      </c>
      <c r="F8" s="5">
        <f t="shared" si="1"/>
        <v>151.58125614376937</v>
      </c>
      <c r="G8">
        <v>152</v>
      </c>
      <c r="H8">
        <v>1</v>
      </c>
      <c r="I8" s="3">
        <v>2.44</v>
      </c>
      <c r="J8">
        <v>0.01</v>
      </c>
      <c r="K8" s="3">
        <v>2.0699999999999998</v>
      </c>
      <c r="L8">
        <v>0.01</v>
      </c>
      <c r="M8" s="4">
        <f t="shared" si="5"/>
        <v>0.84836065573770492</v>
      </c>
      <c r="N8" s="4">
        <f t="shared" si="6"/>
        <v>5.3745055368454421E-3</v>
      </c>
      <c r="O8" s="7">
        <f t="shared" si="2"/>
        <v>448400</v>
      </c>
      <c r="P8" s="6">
        <f t="shared" si="7"/>
        <v>448399.99999999994</v>
      </c>
      <c r="Q8" s="6">
        <f t="shared" si="3"/>
        <v>29360.08806988367</v>
      </c>
      <c r="R8" s="6">
        <f t="shared" si="4"/>
        <v>4404.0132104825489</v>
      </c>
      <c r="S8" s="6"/>
    </row>
    <row r="9" spans="1:19" x14ac:dyDescent="0.3">
      <c r="A9" s="2">
        <v>6</v>
      </c>
      <c r="B9">
        <v>1</v>
      </c>
      <c r="C9">
        <v>6</v>
      </c>
      <c r="D9" s="4">
        <f t="shared" si="0"/>
        <v>0.49604094530365156</v>
      </c>
      <c r="E9" s="5">
        <v>35100</v>
      </c>
      <c r="F9" s="5">
        <f t="shared" si="1"/>
        <v>152.99989898442919</v>
      </c>
      <c r="G9">
        <v>152</v>
      </c>
      <c r="H9">
        <v>1</v>
      </c>
      <c r="I9" s="3">
        <v>2.5</v>
      </c>
      <c r="J9">
        <v>0.01</v>
      </c>
      <c r="K9" s="3">
        <v>1.98</v>
      </c>
      <c r="L9">
        <v>0.01</v>
      </c>
      <c r="M9" s="4">
        <f t="shared" si="5"/>
        <v>0.79200000000000004</v>
      </c>
      <c r="N9" s="4">
        <f t="shared" si="6"/>
        <v>5.1025703326852828E-3</v>
      </c>
      <c r="O9" s="7">
        <f t="shared" si="2"/>
        <v>444600</v>
      </c>
      <c r="P9" s="6">
        <f t="shared" si="7"/>
        <v>425599.99999999988</v>
      </c>
      <c r="Q9" s="6">
        <f t="shared" si="3"/>
        <v>35121.523786760466</v>
      </c>
      <c r="R9" s="6">
        <f t="shared" si="4"/>
        <v>5268.2285680140676</v>
      </c>
      <c r="S9" s="6"/>
    </row>
    <row r="10" spans="1:19" x14ac:dyDescent="0.3">
      <c r="A10" s="2">
        <v>7</v>
      </c>
      <c r="B10">
        <v>0</v>
      </c>
      <c r="C10">
        <v>7</v>
      </c>
      <c r="D10" s="4">
        <f t="shared" si="0"/>
        <v>0.57871443618759344</v>
      </c>
      <c r="E10" s="5">
        <v>41200</v>
      </c>
      <c r="F10" s="5">
        <f t="shared" si="1"/>
        <v>154.88506467863004</v>
      </c>
      <c r="G10">
        <v>154</v>
      </c>
      <c r="H10">
        <v>1</v>
      </c>
      <c r="I10" s="3">
        <v>2.52</v>
      </c>
      <c r="J10">
        <v>0.01</v>
      </c>
      <c r="K10" s="3">
        <v>1.98</v>
      </c>
      <c r="L10">
        <v>0.01</v>
      </c>
      <c r="M10" s="4">
        <f t="shared" si="5"/>
        <v>0.7857142857142857</v>
      </c>
      <c r="N10" s="4">
        <f t="shared" si="6"/>
        <v>5.0466252309424187E-3</v>
      </c>
      <c r="O10" s="7">
        <f t="shared" si="2"/>
        <v>447314.28571428574</v>
      </c>
      <c r="P10" s="6">
        <f t="shared" si="7"/>
        <v>463600.00000000023</v>
      </c>
      <c r="Q10" s="6">
        <f t="shared" si="3"/>
        <v>40822.954969397164</v>
      </c>
      <c r="R10" s="6">
        <f t="shared" si="4"/>
        <v>6123.4432454095713</v>
      </c>
      <c r="S10" s="6"/>
    </row>
    <row r="11" spans="1:19" x14ac:dyDescent="0.3">
      <c r="A11" s="2">
        <v>8</v>
      </c>
      <c r="B11">
        <v>1</v>
      </c>
      <c r="C11">
        <v>8</v>
      </c>
      <c r="D11" s="4">
        <f t="shared" si="0"/>
        <v>0.66138792707153538</v>
      </c>
      <c r="E11" s="5">
        <v>46700</v>
      </c>
      <c r="F11" s="5">
        <f t="shared" si="1"/>
        <v>156.91892866711515</v>
      </c>
      <c r="G11">
        <v>157</v>
      </c>
      <c r="H11">
        <v>1</v>
      </c>
      <c r="I11" s="3">
        <v>2.31</v>
      </c>
      <c r="J11">
        <v>0.01</v>
      </c>
      <c r="K11" s="3">
        <v>1.92</v>
      </c>
      <c r="L11">
        <v>0.01</v>
      </c>
      <c r="M11" s="4">
        <f t="shared" si="5"/>
        <v>0.83116883116883111</v>
      </c>
      <c r="N11" s="4">
        <f t="shared" si="6"/>
        <v>5.6291067618206509E-3</v>
      </c>
      <c r="O11" s="7">
        <f t="shared" si="2"/>
        <v>443650</v>
      </c>
      <c r="P11" s="6">
        <f t="shared" si="7"/>
        <v>417999.99999999988</v>
      </c>
      <c r="Q11" s="6">
        <f t="shared" si="3"/>
        <v>46454.640818257474</v>
      </c>
      <c r="R11" s="6">
        <f t="shared" si="4"/>
        <v>6968.1961227386173</v>
      </c>
      <c r="S11" s="6"/>
    </row>
    <row r="12" spans="1:19" x14ac:dyDescent="0.3">
      <c r="A12" s="2">
        <v>9</v>
      </c>
      <c r="B12">
        <v>0</v>
      </c>
      <c r="C12">
        <v>9</v>
      </c>
      <c r="D12" s="4">
        <f t="shared" si="0"/>
        <v>0.74406141795547731</v>
      </c>
      <c r="E12" s="5">
        <v>52100</v>
      </c>
      <c r="F12" s="5">
        <f t="shared" si="1"/>
        <v>159.25917057161999</v>
      </c>
      <c r="G12">
        <v>159</v>
      </c>
      <c r="H12">
        <v>1</v>
      </c>
      <c r="I12" s="3">
        <v>2.56</v>
      </c>
      <c r="J12">
        <v>0.01</v>
      </c>
      <c r="K12" s="3">
        <v>1.88</v>
      </c>
      <c r="L12">
        <v>0.01</v>
      </c>
      <c r="M12" s="4">
        <f t="shared" si="5"/>
        <v>0.73437499999999989</v>
      </c>
      <c r="N12" s="4">
        <f t="shared" si="6"/>
        <v>4.8464373855237591E-3</v>
      </c>
      <c r="O12" s="7">
        <f t="shared" si="2"/>
        <v>439955.55555555556</v>
      </c>
      <c r="P12" s="6">
        <f t="shared" si="7"/>
        <v>410400</v>
      </c>
      <c r="Q12" s="6">
        <f t="shared" si="3"/>
        <v>52006.959692537901</v>
      </c>
      <c r="R12" s="6">
        <f t="shared" si="4"/>
        <v>7801.0439538806822</v>
      </c>
      <c r="S12" s="6"/>
    </row>
    <row r="13" spans="1:19" x14ac:dyDescent="0.3">
      <c r="A13" s="2">
        <v>10</v>
      </c>
      <c r="B13">
        <v>1</v>
      </c>
      <c r="C13">
        <v>10</v>
      </c>
      <c r="D13" s="4">
        <f t="shared" si="0"/>
        <v>0.82673490883941925</v>
      </c>
      <c r="E13" s="5">
        <v>57600</v>
      </c>
      <c r="F13" s="5">
        <f t="shared" si="1"/>
        <v>162.03619756652645</v>
      </c>
      <c r="G13">
        <v>162</v>
      </c>
      <c r="H13">
        <v>1</v>
      </c>
      <c r="I13" s="3">
        <v>2.63</v>
      </c>
      <c r="J13">
        <v>0.01</v>
      </c>
      <c r="K13" s="3">
        <v>1.8</v>
      </c>
      <c r="L13">
        <v>0.01</v>
      </c>
      <c r="M13" s="4">
        <f t="shared" si="5"/>
        <v>0.68441064638783278</v>
      </c>
      <c r="N13" s="4">
        <f t="shared" si="6"/>
        <v>4.6075397573394567E-3</v>
      </c>
      <c r="O13" s="7">
        <f t="shared" si="2"/>
        <v>437760</v>
      </c>
      <c r="P13" s="6">
        <f t="shared" si="7"/>
        <v>417999.99999999988</v>
      </c>
      <c r="Q13" s="6">
        <f t="shared" si="3"/>
        <v>57470.425548579682</v>
      </c>
      <c r="R13" s="6">
        <f t="shared" si="4"/>
        <v>8620.563832286949</v>
      </c>
      <c r="S13" s="6"/>
    </row>
    <row r="14" spans="1:19" x14ac:dyDescent="0.3">
      <c r="A14" s="2">
        <v>11</v>
      </c>
      <c r="B14">
        <v>0</v>
      </c>
      <c r="C14">
        <v>11</v>
      </c>
      <c r="D14" s="4">
        <f t="shared" si="0"/>
        <v>0.90940839972336107</v>
      </c>
      <c r="E14" s="5">
        <v>63400</v>
      </c>
      <c r="F14" s="5">
        <f t="shared" si="1"/>
        <v>165.45667269838299</v>
      </c>
      <c r="G14">
        <v>167</v>
      </c>
      <c r="H14">
        <v>1</v>
      </c>
      <c r="I14" s="3">
        <v>3.03</v>
      </c>
      <c r="J14">
        <v>0.01</v>
      </c>
      <c r="K14" s="3">
        <v>1.73</v>
      </c>
      <c r="L14">
        <v>0.01</v>
      </c>
      <c r="M14" s="4">
        <f t="shared" si="5"/>
        <v>0.57095709570957098</v>
      </c>
      <c r="N14" s="4">
        <f t="shared" si="6"/>
        <v>3.800387003955416E-3</v>
      </c>
      <c r="O14" s="7">
        <f t="shared" si="2"/>
        <v>438036.36363636371</v>
      </c>
      <c r="P14" s="6">
        <f t="shared" si="7"/>
        <v>440800.00000000052</v>
      </c>
      <c r="Q14" s="6">
        <f t="shared" si="3"/>
        <v>62835.70414661523</v>
      </c>
      <c r="R14" s="6">
        <f t="shared" si="4"/>
        <v>9425.3556219922793</v>
      </c>
      <c r="S14" s="6"/>
    </row>
    <row r="15" spans="1:19" x14ac:dyDescent="0.3">
      <c r="A15" s="2">
        <v>12</v>
      </c>
      <c r="B15">
        <v>1</v>
      </c>
      <c r="C15">
        <v>12</v>
      </c>
      <c r="D15" s="4">
        <f t="shared" si="0"/>
        <v>0.99208189060730312</v>
      </c>
      <c r="E15" s="5">
        <v>69200</v>
      </c>
      <c r="F15" s="5">
        <f t="shared" si="1"/>
        <v>169.46572680204525</v>
      </c>
      <c r="G15">
        <v>169</v>
      </c>
      <c r="H15">
        <v>1</v>
      </c>
      <c r="I15" s="3">
        <v>2.31</v>
      </c>
      <c r="J15">
        <v>0.01</v>
      </c>
      <c r="K15" s="3">
        <v>1.53</v>
      </c>
      <c r="L15">
        <v>0.01</v>
      </c>
      <c r="M15" s="4">
        <f t="shared" si="5"/>
        <v>0.66233766233766234</v>
      </c>
      <c r="N15" s="4">
        <f t="shared" si="6"/>
        <v>5.1924438698010087E-3</v>
      </c>
      <c r="O15" s="7">
        <f t="shared" si="2"/>
        <v>438266.66666666663</v>
      </c>
      <c r="P15" s="6">
        <f t="shared" si="7"/>
        <v>440799.9999999993</v>
      </c>
      <c r="Q15" s="6">
        <f t="shared" si="3"/>
        <v>68093.628998160231</v>
      </c>
      <c r="R15" s="6">
        <f t="shared" si="4"/>
        <v>10214.04434972403</v>
      </c>
      <c r="S15" s="6"/>
    </row>
    <row r="16" spans="1:19" x14ac:dyDescent="0.3">
      <c r="A16" s="2">
        <v>13</v>
      </c>
      <c r="B16">
        <v>0</v>
      </c>
      <c r="C16">
        <v>13</v>
      </c>
      <c r="D16" s="4">
        <f t="shared" si="0"/>
        <v>1.0747553814912452</v>
      </c>
      <c r="E16" s="5">
        <v>73700</v>
      </c>
      <c r="F16" s="5">
        <f t="shared" si="1"/>
        <v>173.05129776030552</v>
      </c>
      <c r="G16">
        <v>172</v>
      </c>
      <c r="H16">
        <v>1</v>
      </c>
      <c r="I16" s="3">
        <v>2.96</v>
      </c>
      <c r="J16">
        <v>0.01</v>
      </c>
      <c r="K16" s="3">
        <v>1.51</v>
      </c>
      <c r="L16">
        <v>0.01</v>
      </c>
      <c r="M16" s="4">
        <f t="shared" si="5"/>
        <v>0.5101351351351352</v>
      </c>
      <c r="N16" s="4">
        <f t="shared" si="6"/>
        <v>3.7925782451351977E-3</v>
      </c>
      <c r="O16" s="7">
        <f t="shared" si="2"/>
        <v>430861.53846153838</v>
      </c>
      <c r="P16" s="6">
        <f t="shared" si="7"/>
        <v>341999.99999999953</v>
      </c>
      <c r="Q16" s="6">
        <f t="shared" si="3"/>
        <v>73235.217026805403</v>
      </c>
      <c r="R16" s="6">
        <f t="shared" si="4"/>
        <v>10985.282554020807</v>
      </c>
      <c r="S16" s="6"/>
    </row>
    <row r="17" spans="1:19" x14ac:dyDescent="0.3">
      <c r="A17" s="2">
        <v>14</v>
      </c>
      <c r="B17">
        <v>1</v>
      </c>
      <c r="C17">
        <v>14</v>
      </c>
      <c r="D17" s="4">
        <f t="shared" si="0"/>
        <v>1.1574288723751869</v>
      </c>
      <c r="E17" s="5">
        <v>79400</v>
      </c>
      <c r="F17" s="5">
        <f t="shared" si="1"/>
        <v>178.30241778338123</v>
      </c>
      <c r="G17">
        <v>178</v>
      </c>
      <c r="H17">
        <v>1</v>
      </c>
      <c r="I17" s="3">
        <v>2.75</v>
      </c>
      <c r="J17">
        <v>0.01</v>
      </c>
      <c r="K17" s="3">
        <v>1.59</v>
      </c>
      <c r="L17">
        <v>0.01</v>
      </c>
      <c r="M17" s="4">
        <f t="shared" si="5"/>
        <v>0.57818181818181824</v>
      </c>
      <c r="N17" s="4">
        <f t="shared" si="6"/>
        <v>4.2004237722079139E-3</v>
      </c>
      <c r="O17" s="7">
        <f t="shared" si="2"/>
        <v>431028.57142857142</v>
      </c>
      <c r="P17" s="6">
        <f t="shared" si="7"/>
        <v>433200.00000000105</v>
      </c>
      <c r="Q17" s="6">
        <f t="shared" si="3"/>
        <v>78251.683915651884</v>
      </c>
      <c r="R17" s="6">
        <f t="shared" si="4"/>
        <v>11737.752587347777</v>
      </c>
      <c r="S17" s="6"/>
    </row>
    <row r="18" spans="1:19" x14ac:dyDescent="0.3">
      <c r="A18" s="2">
        <v>15</v>
      </c>
      <c r="B18">
        <v>0</v>
      </c>
      <c r="C18">
        <v>15</v>
      </c>
      <c r="D18" s="4">
        <f t="shared" si="0"/>
        <v>1.2401023632591288</v>
      </c>
      <c r="E18" s="5">
        <v>83900</v>
      </c>
      <c r="F18" s="5">
        <f t="shared" si="1"/>
        <v>183.11564628191584</v>
      </c>
      <c r="G18">
        <v>182</v>
      </c>
      <c r="H18">
        <v>1</v>
      </c>
      <c r="I18" s="3">
        <v>2.71</v>
      </c>
      <c r="J18">
        <v>0.01</v>
      </c>
      <c r="K18" s="3">
        <v>1.56</v>
      </c>
      <c r="L18">
        <v>0.01</v>
      </c>
      <c r="M18" s="4">
        <f t="shared" si="5"/>
        <v>0.57564575645756455</v>
      </c>
      <c r="N18" s="4">
        <f t="shared" si="6"/>
        <v>4.2577462223405181E-3</v>
      </c>
      <c r="O18" s="7">
        <f t="shared" si="2"/>
        <v>425093.33333333331</v>
      </c>
      <c r="P18" s="6">
        <f t="shared" si="7"/>
        <v>341999.99999999994</v>
      </c>
      <c r="Q18" s="6">
        <f t="shared" si="3"/>
        <v>83134.459115169331</v>
      </c>
      <c r="R18" s="6">
        <f t="shared" si="4"/>
        <v>12470.168867275395</v>
      </c>
      <c r="S18" s="6"/>
    </row>
    <row r="19" spans="1:19" x14ac:dyDescent="0.3">
      <c r="A19" s="2">
        <v>16</v>
      </c>
      <c r="B19">
        <v>1</v>
      </c>
      <c r="C19">
        <v>16</v>
      </c>
      <c r="D19" s="4">
        <f t="shared" si="0"/>
        <v>1.3227758541430708</v>
      </c>
      <c r="E19" s="5">
        <v>89200</v>
      </c>
      <c r="F19" s="5">
        <f t="shared" si="1"/>
        <v>189.71013674750412</v>
      </c>
      <c r="G19">
        <v>189</v>
      </c>
      <c r="H19">
        <v>1</v>
      </c>
      <c r="I19" s="3">
        <v>3.26</v>
      </c>
      <c r="J19">
        <v>0.01</v>
      </c>
      <c r="K19" s="3">
        <v>1.38</v>
      </c>
      <c r="L19">
        <v>0.01</v>
      </c>
      <c r="M19" s="4">
        <f t="shared" si="5"/>
        <v>0.42331288343558282</v>
      </c>
      <c r="N19" s="4">
        <f t="shared" si="6"/>
        <v>3.3310027632996262E-3</v>
      </c>
      <c r="O19" s="7">
        <f t="shared" si="2"/>
        <v>423700</v>
      </c>
      <c r="P19" s="6">
        <f t="shared" si="7"/>
        <v>402800</v>
      </c>
      <c r="Q19" s="6">
        <f t="shared" si="3"/>
        <v>87875.200485836001</v>
      </c>
      <c r="R19" s="6">
        <f t="shared" si="4"/>
        <v>13181.280072875394</v>
      </c>
      <c r="S19" s="6"/>
    </row>
    <row r="20" spans="1:19" x14ac:dyDescent="0.3">
      <c r="A20" s="2">
        <v>17</v>
      </c>
      <c r="B20">
        <v>0</v>
      </c>
      <c r="C20">
        <v>17</v>
      </c>
      <c r="D20" s="4">
        <f t="shared" si="0"/>
        <v>1.4054493450270129</v>
      </c>
      <c r="E20" s="5">
        <v>93750</v>
      </c>
      <c r="F20" s="5">
        <f t="shared" si="1"/>
        <v>196.35410486773142</v>
      </c>
      <c r="G20">
        <v>198</v>
      </c>
      <c r="H20">
        <v>1</v>
      </c>
      <c r="I20" s="3">
        <v>2.0699999999999998</v>
      </c>
      <c r="J20">
        <v>0.01</v>
      </c>
      <c r="K20" s="3">
        <v>1.36</v>
      </c>
      <c r="L20">
        <v>0.01</v>
      </c>
      <c r="M20" s="4">
        <f t="shared" si="5"/>
        <v>0.65700483091787454</v>
      </c>
      <c r="N20" s="4">
        <f t="shared" si="6"/>
        <v>5.7802802407284351E-3</v>
      </c>
      <c r="O20" s="7">
        <f t="shared" si="2"/>
        <v>419117.6470588235</v>
      </c>
      <c r="P20" s="6">
        <f t="shared" si="7"/>
        <v>345799.99999999907</v>
      </c>
      <c r="Q20" s="6">
        <f t="shared" si="3"/>
        <v>92465.808550544127</v>
      </c>
      <c r="R20" s="6">
        <f t="shared" si="4"/>
        <v>13869.871282581613</v>
      </c>
      <c r="S20" s="6"/>
    </row>
    <row r="21" spans="1:19" x14ac:dyDescent="0.3">
      <c r="A21" s="2">
        <v>18</v>
      </c>
      <c r="B21">
        <v>1</v>
      </c>
      <c r="C21">
        <v>18</v>
      </c>
      <c r="D21" s="4">
        <f t="shared" si="0"/>
        <v>1.4881228359109546</v>
      </c>
      <c r="E21" s="5">
        <v>98250</v>
      </c>
      <c r="F21" s="5">
        <f t="shared" si="1"/>
        <v>204.04608650013168</v>
      </c>
      <c r="G21">
        <v>205</v>
      </c>
      <c r="H21">
        <v>1</v>
      </c>
      <c r="I21" s="3">
        <v>3.2</v>
      </c>
      <c r="J21">
        <v>0.01</v>
      </c>
      <c r="K21" s="3">
        <v>1.22</v>
      </c>
      <c r="L21">
        <v>0.01</v>
      </c>
      <c r="M21" s="4">
        <f t="shared" si="5"/>
        <v>0.38124999999999998</v>
      </c>
      <c r="N21" s="4">
        <f t="shared" si="6"/>
        <v>3.3444093428495053E-3</v>
      </c>
      <c r="O21" s="7">
        <f t="shared" si="2"/>
        <v>414833.33333333331</v>
      </c>
      <c r="P21" s="6">
        <f t="shared" si="7"/>
        <v>342000.00000000087</v>
      </c>
      <c r="Q21" s="6">
        <f t="shared" si="3"/>
        <v>96898.440332420796</v>
      </c>
      <c r="R21" s="6">
        <f t="shared" si="4"/>
        <v>14534.766049863112</v>
      </c>
      <c r="S21" s="6"/>
    </row>
    <row r="22" spans="1:19" x14ac:dyDescent="0.3">
      <c r="A22" s="2">
        <v>19</v>
      </c>
      <c r="B22">
        <v>0</v>
      </c>
      <c r="C22">
        <v>19</v>
      </c>
      <c r="D22" s="4">
        <f t="shared" si="0"/>
        <v>1.5707963267948966</v>
      </c>
      <c r="E22" s="5">
        <v>102400</v>
      </c>
      <c r="F22" s="5">
        <f t="shared" si="1"/>
        <v>212.38543102686035</v>
      </c>
      <c r="G22">
        <v>211</v>
      </c>
      <c r="H22">
        <v>1</v>
      </c>
      <c r="I22" s="3">
        <v>2.76</v>
      </c>
      <c r="J22">
        <v>0.01</v>
      </c>
      <c r="K22" s="3">
        <v>1.05</v>
      </c>
      <c r="L22">
        <v>0.01</v>
      </c>
      <c r="M22" s="4">
        <f t="shared" si="5"/>
        <v>0.38043478260869568</v>
      </c>
      <c r="N22" s="4">
        <f t="shared" si="6"/>
        <v>3.8765248163918735E-3</v>
      </c>
      <c r="O22" s="7">
        <f t="shared" si="2"/>
        <v>409600</v>
      </c>
      <c r="P22" s="6">
        <f t="shared" si="7"/>
        <v>315399.99999999994</v>
      </c>
      <c r="Q22" s="6">
        <f t="shared" si="3"/>
        <v>101165.52275442229</v>
      </c>
      <c r="R22" s="6">
        <f t="shared" si="4"/>
        <v>15174.828413163335</v>
      </c>
      <c r="S22" s="6"/>
    </row>
    <row r="23" spans="1:19" x14ac:dyDescent="0.3">
      <c r="A23" s="2">
        <v>20</v>
      </c>
      <c r="B23">
        <v>1</v>
      </c>
      <c r="C23">
        <v>20</v>
      </c>
      <c r="D23" s="4">
        <f t="shared" si="0"/>
        <v>1.6534698176788385</v>
      </c>
      <c r="E23" s="5">
        <v>107600</v>
      </c>
      <c r="F23" s="5">
        <f t="shared" si="1"/>
        <v>225.05025490809348</v>
      </c>
      <c r="G23">
        <v>224</v>
      </c>
      <c r="H23">
        <v>1</v>
      </c>
      <c r="I23" s="3">
        <v>3.67</v>
      </c>
      <c r="J23">
        <v>0.01</v>
      </c>
      <c r="K23" s="3">
        <v>1.1299999999999999</v>
      </c>
      <c r="L23">
        <v>0.01</v>
      </c>
      <c r="M23" s="4">
        <f t="shared" si="5"/>
        <v>0.30790190735694822</v>
      </c>
      <c r="N23" s="4">
        <f t="shared" si="6"/>
        <v>2.8510316667124738E-3</v>
      </c>
      <c r="O23" s="7">
        <f t="shared" si="2"/>
        <v>408880</v>
      </c>
      <c r="P23" s="6">
        <f t="shared" si="7"/>
        <v>395199.99999999994</v>
      </c>
      <c r="Q23" s="6">
        <f t="shared" si="3"/>
        <v>105259.76557780924</v>
      </c>
      <c r="R23" s="6">
        <f t="shared" si="4"/>
        <v>15788.964836671379</v>
      </c>
      <c r="S23" s="6"/>
    </row>
    <row r="24" spans="1:19" x14ac:dyDescent="0.3">
      <c r="A24" s="2">
        <v>21</v>
      </c>
      <c r="B24">
        <v>0</v>
      </c>
      <c r="C24">
        <v>21</v>
      </c>
      <c r="D24" s="4">
        <f t="shared" si="0"/>
        <v>1.7361433085627804</v>
      </c>
      <c r="E24" s="5">
        <v>111400</v>
      </c>
      <c r="F24" s="5">
        <f t="shared" si="1"/>
        <v>236.38461475855078</v>
      </c>
      <c r="G24">
        <v>236</v>
      </c>
      <c r="H24">
        <v>1</v>
      </c>
      <c r="I24" s="3">
        <v>2.23</v>
      </c>
      <c r="J24">
        <v>0.01</v>
      </c>
      <c r="K24" s="3">
        <v>1.1499999999999999</v>
      </c>
      <c r="L24">
        <v>0.01</v>
      </c>
      <c r="M24" s="4">
        <f t="shared" si="5"/>
        <v>0.51569506726457393</v>
      </c>
      <c r="N24" s="4">
        <f t="shared" ref="N24:N35" si="8">L24/I24+J24*K24/I24^2</f>
        <v>6.7968388666572819E-3</v>
      </c>
      <c r="O24" s="7">
        <f t="shared" si="2"/>
        <v>403161.90476190473</v>
      </c>
      <c r="P24" s="6">
        <f t="shared" si="7"/>
        <v>288799.99999999994</v>
      </c>
      <c r="Q24" s="6">
        <f t="shared" si="3"/>
        <v>109174.1738573972</v>
      </c>
      <c r="R24" s="6">
        <f t="shared" si="4"/>
        <v>16376.126078609572</v>
      </c>
      <c r="S24" s="6"/>
    </row>
    <row r="25" spans="1:19" x14ac:dyDescent="0.3">
      <c r="A25" s="2">
        <v>22</v>
      </c>
      <c r="B25">
        <v>1</v>
      </c>
      <c r="C25">
        <v>22</v>
      </c>
      <c r="D25" s="4">
        <f t="shared" si="0"/>
        <v>1.8188167994467221</v>
      </c>
      <c r="E25" s="5">
        <v>115900</v>
      </c>
      <c r="F25" s="5">
        <f t="shared" si="1"/>
        <v>252.98360282520221</v>
      </c>
      <c r="G25">
        <v>255</v>
      </c>
      <c r="H25">
        <v>1</v>
      </c>
      <c r="I25" s="3">
        <v>2.8</v>
      </c>
      <c r="J25">
        <v>0.01</v>
      </c>
      <c r="K25" s="3">
        <v>0.97</v>
      </c>
      <c r="L25">
        <v>0.01</v>
      </c>
      <c r="M25" s="4">
        <f t="shared" si="5"/>
        <v>0.34642857142857142</v>
      </c>
      <c r="N25" s="4">
        <f t="shared" si="8"/>
        <v>4.8086734693877555E-3</v>
      </c>
      <c r="O25" s="7">
        <f t="shared" si="2"/>
        <v>400381.81818181823</v>
      </c>
      <c r="P25" s="6">
        <f t="shared" si="7"/>
        <v>342000.00000000087</v>
      </c>
      <c r="Q25" s="6">
        <f t="shared" si="3"/>
        <v>112902.05989230311</v>
      </c>
      <c r="R25" s="6">
        <f t="shared" si="4"/>
        <v>16935.308983845458</v>
      </c>
      <c r="S25" s="6"/>
    </row>
    <row r="26" spans="1:19" x14ac:dyDescent="0.3">
      <c r="A26" s="2">
        <v>23</v>
      </c>
      <c r="B26">
        <v>0</v>
      </c>
      <c r="C26">
        <v>23</v>
      </c>
      <c r="D26" s="4">
        <f t="shared" si="0"/>
        <v>1.9014902903306641</v>
      </c>
      <c r="E26" s="5">
        <v>119100</v>
      </c>
      <c r="F26" s="5">
        <f t="shared" si="1"/>
        <v>267.69285036941835</v>
      </c>
      <c r="G26">
        <v>269</v>
      </c>
      <c r="H26">
        <v>1</v>
      </c>
      <c r="I26" s="3">
        <v>2.89</v>
      </c>
      <c r="J26">
        <v>0.01</v>
      </c>
      <c r="K26" s="3">
        <v>1.04</v>
      </c>
      <c r="L26">
        <v>0.01</v>
      </c>
      <c r="M26" s="4">
        <f t="shared" si="5"/>
        <v>0.35986159169550175</v>
      </c>
      <c r="N26" s="4">
        <f t="shared" si="8"/>
        <v>4.7054034314723244E-3</v>
      </c>
      <c r="O26" s="7">
        <f t="shared" si="2"/>
        <v>393547.8260869566</v>
      </c>
      <c r="P26" s="6">
        <f t="shared" si="7"/>
        <v>243199.99999999997</v>
      </c>
      <c r="Q26" s="6">
        <f t="shared" si="3"/>
        <v>116437.05465177013</v>
      </c>
      <c r="R26" s="6">
        <f t="shared" si="4"/>
        <v>17465.558197765513</v>
      </c>
      <c r="S26" s="6"/>
    </row>
    <row r="27" spans="1:19" x14ac:dyDescent="0.3">
      <c r="A27" s="2">
        <v>24</v>
      </c>
      <c r="B27">
        <v>1</v>
      </c>
      <c r="C27">
        <v>24</v>
      </c>
      <c r="D27" s="4">
        <f t="shared" si="0"/>
        <v>1.9841637812146062</v>
      </c>
      <c r="E27" s="5">
        <v>122800</v>
      </c>
      <c r="F27" s="5">
        <f t="shared" si="1"/>
        <v>289.0688612564627</v>
      </c>
      <c r="G27">
        <v>289</v>
      </c>
      <c r="H27">
        <v>1</v>
      </c>
      <c r="I27" s="3">
        <v>3.2</v>
      </c>
      <c r="J27">
        <v>0.01</v>
      </c>
      <c r="K27" s="3">
        <v>0.98</v>
      </c>
      <c r="L27">
        <v>0.01</v>
      </c>
      <c r="M27" s="4">
        <f t="shared" si="5"/>
        <v>0.30624999999999997</v>
      </c>
      <c r="N27" s="4">
        <f t="shared" si="8"/>
        <v>4.0820312499999997E-3</v>
      </c>
      <c r="O27" s="7">
        <f t="shared" si="2"/>
        <v>388866.66666666663</v>
      </c>
      <c r="P27" s="6">
        <f t="shared" si="7"/>
        <v>281199.99999999919</v>
      </c>
      <c r="Q27" s="6">
        <f t="shared" si="3"/>
        <v>119773.11865654988</v>
      </c>
      <c r="R27" s="6">
        <f t="shared" si="4"/>
        <v>17965.967798482474</v>
      </c>
      <c r="S27" s="6"/>
    </row>
    <row r="28" spans="1:19" x14ac:dyDescent="0.3">
      <c r="A28" s="2">
        <v>25</v>
      </c>
      <c r="B28">
        <v>0</v>
      </c>
      <c r="C28">
        <v>25</v>
      </c>
      <c r="D28" s="4">
        <f t="shared" si="0"/>
        <v>2.0668372720985482</v>
      </c>
      <c r="E28" s="5">
        <v>125850</v>
      </c>
      <c r="F28" s="5">
        <f t="shared" si="1"/>
        <v>311.84255610681487</v>
      </c>
      <c r="G28">
        <v>314</v>
      </c>
      <c r="H28">
        <v>1</v>
      </c>
      <c r="I28" s="3">
        <v>2.88</v>
      </c>
      <c r="J28">
        <v>0.01</v>
      </c>
      <c r="K28" s="3">
        <v>0.82</v>
      </c>
      <c r="L28">
        <v>0.01</v>
      </c>
      <c r="M28" s="4">
        <f t="shared" si="5"/>
        <v>0.28472222222222221</v>
      </c>
      <c r="N28" s="4">
        <f t="shared" si="8"/>
        <v>4.4608410493827159E-3</v>
      </c>
      <c r="O28" s="7">
        <f t="shared" si="2"/>
        <v>382584</v>
      </c>
      <c r="P28" s="6">
        <f t="shared" si="7"/>
        <v>231799.99999999997</v>
      </c>
      <c r="Q28" s="6">
        <f t="shared" si="3"/>
        <v>122904.55229725131</v>
      </c>
      <c r="R28" s="6">
        <f t="shared" si="4"/>
        <v>18435.682844587689</v>
      </c>
      <c r="S28" s="6"/>
    </row>
    <row r="29" spans="1:19" x14ac:dyDescent="0.3">
      <c r="A29" s="2">
        <v>26</v>
      </c>
      <c r="B29">
        <v>1</v>
      </c>
      <c r="C29">
        <v>26</v>
      </c>
      <c r="D29" s="4">
        <f t="shared" si="0"/>
        <v>2.1495107629824903</v>
      </c>
      <c r="E29" s="5">
        <v>129700</v>
      </c>
      <c r="F29" s="5">
        <f t="shared" si="1"/>
        <v>351.39918692867872</v>
      </c>
      <c r="G29">
        <v>353</v>
      </c>
      <c r="H29">
        <v>1</v>
      </c>
      <c r="I29" s="3">
        <v>3.63</v>
      </c>
      <c r="J29">
        <v>0.01</v>
      </c>
      <c r="K29" s="3">
        <v>0.6</v>
      </c>
      <c r="L29">
        <v>0.01</v>
      </c>
      <c r="M29" s="4">
        <f t="shared" si="5"/>
        <v>0.16528925619834711</v>
      </c>
      <c r="N29" s="4">
        <f t="shared" si="8"/>
        <v>3.2101632402158323E-3</v>
      </c>
      <c r="O29" s="7">
        <f t="shared" si="2"/>
        <v>379123.07692307688</v>
      </c>
      <c r="P29" s="6">
        <f t="shared" si="7"/>
        <v>292599.99999999919</v>
      </c>
      <c r="Q29" s="6">
        <f t="shared" si="3"/>
        <v>125826.00557202785</v>
      </c>
      <c r="R29" s="6">
        <f t="shared" si="4"/>
        <v>18873.900835804168</v>
      </c>
      <c r="S29" s="6"/>
    </row>
    <row r="30" spans="1:19" x14ac:dyDescent="0.3">
      <c r="A30" s="2">
        <v>27</v>
      </c>
      <c r="B30">
        <v>0</v>
      </c>
      <c r="C30">
        <v>27</v>
      </c>
      <c r="D30" s="4">
        <f t="shared" si="0"/>
        <v>2.232184253866432</v>
      </c>
      <c r="E30" s="5">
        <v>132400</v>
      </c>
      <c r="F30" s="5">
        <f t="shared" si="1"/>
        <v>391.42342392514399</v>
      </c>
      <c r="G30">
        <v>391</v>
      </c>
      <c r="H30">
        <v>1</v>
      </c>
      <c r="I30" s="3">
        <v>2.7</v>
      </c>
      <c r="J30">
        <v>0.01</v>
      </c>
      <c r="K30" s="3">
        <v>0.5</v>
      </c>
      <c r="L30">
        <v>0.01</v>
      </c>
      <c r="M30" s="4">
        <f t="shared" si="5"/>
        <v>0.18518518518518517</v>
      </c>
      <c r="N30" s="4">
        <f t="shared" si="8"/>
        <v>4.3895747599451296E-3</v>
      </c>
      <c r="O30" s="7">
        <f t="shared" si="2"/>
        <v>372681.48148148146</v>
      </c>
      <c r="P30" s="6">
        <f t="shared" si="7"/>
        <v>205200.00000000055</v>
      </c>
      <c r="Q30" s="6">
        <f t="shared" si="3"/>
        <v>128532.48722696574</v>
      </c>
      <c r="R30" s="6">
        <f t="shared" si="4"/>
        <v>19279.873084044852</v>
      </c>
      <c r="S30" s="6"/>
    </row>
    <row r="31" spans="1:19" x14ac:dyDescent="0.3">
      <c r="A31" s="2">
        <v>28</v>
      </c>
      <c r="B31">
        <v>1</v>
      </c>
      <c r="C31">
        <v>28</v>
      </c>
      <c r="D31" s="4">
        <f t="shared" si="0"/>
        <v>2.3148577447503738</v>
      </c>
      <c r="E31" s="5">
        <v>135900</v>
      </c>
      <c r="F31" s="5">
        <f t="shared" si="1"/>
        <v>474.4946035159341</v>
      </c>
      <c r="G31">
        <v>473</v>
      </c>
      <c r="H31">
        <v>1</v>
      </c>
      <c r="I31" s="3">
        <v>3.9</v>
      </c>
      <c r="J31">
        <v>0.01</v>
      </c>
      <c r="K31" s="3">
        <v>0.37</v>
      </c>
      <c r="L31">
        <v>0.01</v>
      </c>
      <c r="M31" s="4">
        <f t="shared" si="5"/>
        <v>9.4871794871794868E-2</v>
      </c>
      <c r="N31" s="4">
        <f t="shared" si="8"/>
        <v>2.8073635765943458E-3</v>
      </c>
      <c r="O31" s="7">
        <f t="shared" si="2"/>
        <v>368871.42857142858</v>
      </c>
      <c r="P31" s="6">
        <f t="shared" si="7"/>
        <v>266000.00000000064</v>
      </c>
      <c r="Q31" s="6">
        <f t="shared" si="3"/>
        <v>131019.37328355768</v>
      </c>
      <c r="R31" s="6">
        <f t="shared" si="4"/>
        <v>19652.905992533644</v>
      </c>
      <c r="S31" s="6"/>
    </row>
    <row r="32" spans="1:19" x14ac:dyDescent="0.3">
      <c r="A32" s="2">
        <v>29</v>
      </c>
      <c r="B32">
        <v>0</v>
      </c>
      <c r="C32">
        <v>29</v>
      </c>
      <c r="D32" s="4">
        <f t="shared" si="0"/>
        <v>2.3975312356343159</v>
      </c>
      <c r="E32" s="5">
        <v>138750</v>
      </c>
      <c r="F32" s="5">
        <f t="shared" si="1"/>
        <v>608.20324397293598</v>
      </c>
      <c r="G32">
        <v>606</v>
      </c>
      <c r="H32">
        <v>1</v>
      </c>
      <c r="I32" s="3">
        <v>4.16</v>
      </c>
      <c r="J32">
        <v>0.01</v>
      </c>
      <c r="K32" s="3">
        <v>0.45</v>
      </c>
      <c r="L32">
        <v>0.01</v>
      </c>
      <c r="M32" s="4">
        <f t="shared" si="5"/>
        <v>0.10817307692307693</v>
      </c>
      <c r="N32" s="4">
        <f t="shared" si="8"/>
        <v>2.6638775887573964E-3</v>
      </c>
      <c r="O32" s="7">
        <f t="shared" si="2"/>
        <v>363620.68965517241</v>
      </c>
      <c r="P32" s="6">
        <f t="shared" si="7"/>
        <v>216599.99999999936</v>
      </c>
      <c r="Q32" s="6">
        <f t="shared" si="3"/>
        <v>133282.41493869253</v>
      </c>
      <c r="R32" s="6">
        <f t="shared" si="4"/>
        <v>19992.362240803868</v>
      </c>
      <c r="S32" s="6"/>
    </row>
    <row r="33" spans="1:19" x14ac:dyDescent="0.3">
      <c r="A33" s="2">
        <v>30</v>
      </c>
      <c r="B33">
        <v>1</v>
      </c>
      <c r="C33">
        <v>30</v>
      </c>
      <c r="D33" s="4">
        <f t="shared" si="0"/>
        <v>2.4802047265182576</v>
      </c>
      <c r="E33" s="5">
        <v>141100</v>
      </c>
      <c r="F33" s="5">
        <f t="shared" si="1"/>
        <v>896.96399805252167</v>
      </c>
      <c r="G33">
        <v>896</v>
      </c>
      <c r="H33">
        <v>1</v>
      </c>
      <c r="I33" s="3">
        <v>4.09</v>
      </c>
      <c r="J33">
        <v>0.01</v>
      </c>
      <c r="K33" s="3">
        <v>0.42</v>
      </c>
      <c r="L33">
        <v>0.01</v>
      </c>
      <c r="M33" s="4">
        <f t="shared" si="5"/>
        <v>0.10268948655256724</v>
      </c>
      <c r="N33" s="4">
        <f t="shared" si="8"/>
        <v>2.6960623143094551E-3</v>
      </c>
      <c r="O33" s="7">
        <f t="shared" si="2"/>
        <v>357453.33333333331</v>
      </c>
      <c r="P33" s="6">
        <f t="shared" si="7"/>
        <v>178600.00000000044</v>
      </c>
      <c r="Q33" s="6">
        <f t="shared" si="3"/>
        <v>135317.74582366407</v>
      </c>
      <c r="R33" s="6">
        <f t="shared" si="4"/>
        <v>20297.661873549601</v>
      </c>
      <c r="S33" s="6"/>
    </row>
    <row r="34" spans="1:19" x14ac:dyDescent="0.3">
      <c r="A34" s="1">
        <v>31</v>
      </c>
      <c r="B34">
        <v>0</v>
      </c>
      <c r="D34" s="4">
        <f t="shared" si="0"/>
        <v>2.5628782174021993</v>
      </c>
      <c r="E34" s="5">
        <v>143350</v>
      </c>
      <c r="F34" s="5" t="e">
        <f t="shared" si="1"/>
        <v>#NUM!</v>
      </c>
      <c r="H34">
        <v>1</v>
      </c>
      <c r="I34" s="3"/>
      <c r="J34">
        <v>0.01</v>
      </c>
      <c r="K34" s="3"/>
      <c r="L34">
        <v>0.01</v>
      </c>
      <c r="M34" s="4" t="e">
        <f t="shared" si="5"/>
        <v>#DIV/0!</v>
      </c>
      <c r="N34" s="4" t="e">
        <f t="shared" si="8"/>
        <v>#DIV/0!</v>
      </c>
      <c r="O34" s="7">
        <f t="shared" si="2"/>
        <v>351438.70967741939</v>
      </c>
      <c r="P34" s="6">
        <f t="shared" si="7"/>
        <v>171000.00000000044</v>
      </c>
      <c r="Q34" s="6">
        <f t="shared" si="3"/>
        <v>137121.88860979723</v>
      </c>
      <c r="R34" s="6">
        <f t="shared" si="4"/>
        <v>20568.283291469575</v>
      </c>
      <c r="S34" s="6"/>
    </row>
    <row r="35" spans="1:19" x14ac:dyDescent="0.3">
      <c r="A35" s="1">
        <v>32</v>
      </c>
      <c r="B35">
        <v>1</v>
      </c>
      <c r="D35" s="4">
        <f t="shared" si="0"/>
        <v>2.6455517082861415</v>
      </c>
      <c r="E35" s="5">
        <v>145300</v>
      </c>
      <c r="F35" s="5" t="e">
        <f t="shared" si="1"/>
        <v>#NUM!</v>
      </c>
      <c r="H35">
        <v>1</v>
      </c>
      <c r="I35" s="3"/>
      <c r="J35">
        <v>0.01</v>
      </c>
      <c r="K35" s="3"/>
      <c r="L35">
        <v>0.01</v>
      </c>
      <c r="M35" s="4" t="e">
        <f t="shared" si="5"/>
        <v>#DIV/0!</v>
      </c>
      <c r="N35" s="4" t="e">
        <f t="shared" si="8"/>
        <v>#DIV/0!</v>
      </c>
      <c r="O35" s="7">
        <f t="shared" si="2"/>
        <v>345087.5</v>
      </c>
      <c r="P35" s="6">
        <f t="shared" si="7"/>
        <v>148199.99999999959</v>
      </c>
      <c r="Q35" s="6">
        <f t="shared" si="3"/>
        <v>138691.76094940567</v>
      </c>
      <c r="R35" s="6">
        <f t="shared" si="4"/>
        <v>20803.764142410841</v>
      </c>
      <c r="S35" s="6"/>
    </row>
    <row r="36" spans="1:19" x14ac:dyDescent="0.3">
      <c r="A36" s="5"/>
      <c r="K3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Mansilla, Saul</dc:creator>
  <cp:lastModifiedBy>Saúl Díaz Mansilla</cp:lastModifiedBy>
  <dcterms:created xsi:type="dcterms:W3CDTF">2026-02-12T11:28:20Z</dcterms:created>
  <dcterms:modified xsi:type="dcterms:W3CDTF">2026-02-19T13:25:04Z</dcterms:modified>
</cp:coreProperties>
</file>