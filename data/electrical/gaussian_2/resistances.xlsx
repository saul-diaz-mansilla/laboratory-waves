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laboratory-waves\data\electrical\gaussian_2\"/>
    </mc:Choice>
  </mc:AlternateContent>
  <xr:revisionPtr revIDLastSave="0" documentId="13_ncr:1_{9EED75FA-3FCF-48B4-B905-400933CAAA67}" xr6:coauthVersionLast="47" xr6:coauthVersionMax="47" xr10:uidLastSave="{00000000-0000-0000-0000-000000000000}"/>
  <bookViews>
    <workbookView xWindow="-108" yWindow="-108" windowWidth="23256" windowHeight="12456" xr2:uid="{D73005F2-5D69-4685-BA2C-A4D36748C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C10" i="1" s="1"/>
  <c r="B11" i="1"/>
  <c r="C11" i="1" s="1"/>
  <c r="B12" i="1"/>
  <c r="B13" i="1"/>
  <c r="B14" i="1"/>
  <c r="B15" i="1"/>
  <c r="B16" i="1"/>
  <c r="B17" i="1"/>
  <c r="B18" i="1"/>
  <c r="B19" i="1"/>
  <c r="C19" i="1" s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C32" i="1" s="1"/>
  <c r="B3" i="1"/>
  <c r="C18" i="1"/>
  <c r="C31" i="1"/>
  <c r="C4" i="1"/>
  <c r="C5" i="1"/>
  <c r="C6" i="1"/>
  <c r="C7" i="1"/>
  <c r="C8" i="1"/>
  <c r="C9" i="1"/>
  <c r="C12" i="1"/>
  <c r="C13" i="1"/>
  <c r="C14" i="1"/>
  <c r="C15" i="1"/>
  <c r="C16" i="1"/>
  <c r="C17" i="1"/>
  <c r="C20" i="1"/>
  <c r="C21" i="1"/>
  <c r="C22" i="1"/>
  <c r="C23" i="1"/>
  <c r="C24" i="1"/>
  <c r="C25" i="1"/>
  <c r="C26" i="1"/>
  <c r="C27" i="1"/>
  <c r="C28" i="1"/>
  <c r="C29" i="1"/>
  <c r="C30" i="1"/>
  <c r="F1" i="1"/>
  <c r="H1" i="1"/>
  <c r="P1" i="1"/>
  <c r="L1" i="1"/>
  <c r="C3" i="1" l="1"/>
</calcChain>
</file>

<file path=xl/sharedStrings.xml><?xml version="1.0" encoding="utf-8"?>
<sst xmlns="http://schemas.openxmlformats.org/spreadsheetml/2006/main" count="13" uniqueCount="13">
  <si>
    <t>sections</t>
  </si>
  <si>
    <t>Z_0 (ohm)</t>
  </si>
  <si>
    <t>L (H/sec)</t>
  </si>
  <si>
    <t>C (F/sec)</t>
  </si>
  <si>
    <t>R (ohm)</t>
  </si>
  <si>
    <t>err (ohm)</t>
  </si>
  <si>
    <t>Vpp_in (V)</t>
  </si>
  <si>
    <t>err (H/sec)</t>
  </si>
  <si>
    <t>err (F/sec)</t>
  </si>
  <si>
    <t>f_c (Hz)</t>
  </si>
  <si>
    <t>err (Hz)</t>
  </si>
  <si>
    <t>f (Hz)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</si>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</sst>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0.000"/>
    <numFmt numFmtId="166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2" fontId="0" fillId="0" borderId="0" xfId="1" applyNumberFormat="1" applyFont="1" applyAlignment="1">
      <alignment horizontal="left"/>
    </xf>
    <xf numFmtId="12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6CA6-FD9C-49C3-B77C-956FA8CD82CE}">
  <dimension ref="A1:S36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1" max="1" width="11.109375" style="1" customWidth="1"/>
    <col min="2" max="2" width="9.5546875" bestFit="1" customWidth="1"/>
    <col min="3" max="3" width="9.44140625" customWidth="1"/>
    <col min="4" max="4" width="11.6640625" style="5" customWidth="1"/>
    <col min="5" max="5" width="11.109375" style="5" customWidth="1"/>
    <col min="6" max="6" width="11.33203125" style="5" customWidth="1"/>
    <col min="7" max="7" width="9.44140625" customWidth="1"/>
    <col min="8" max="8" width="9.33203125" customWidth="1"/>
    <col min="10" max="10" width="8.5546875" customWidth="1"/>
    <col min="11" max="11" width="10.88671875" customWidth="1"/>
    <col min="12" max="12" width="8.33203125" customWidth="1"/>
    <col min="13" max="13" width="9.109375" customWidth="1"/>
    <col min="14" max="14" width="8.5546875" customWidth="1"/>
    <col min="15" max="15" width="14.33203125" style="6" customWidth="1"/>
    <col min="16" max="16" width="14.109375" customWidth="1"/>
    <col min="17" max="17" width="13.88671875" customWidth="1"/>
  </cols>
  <sheetData>
    <row r="1" spans="1:19" x14ac:dyDescent="0.3">
      <c r="A1" s="1" t="s">
        <v>0</v>
      </c>
      <c r="B1">
        <v>38</v>
      </c>
      <c r="C1" t="s">
        <v>6</v>
      </c>
      <c r="D1" s="5">
        <v>5</v>
      </c>
      <c r="E1" s="5" t="s">
        <v>9</v>
      </c>
      <c r="F1" s="5">
        <f>1/PI()*SQRT(1/J1/N1)</f>
        <v>143069.65432386796</v>
      </c>
      <c r="G1" t="s">
        <v>10</v>
      </c>
      <c r="H1" s="5">
        <f>1/PI()*(0.5*L1*J1^(-1.5)*N1^(-0.5)+0.5*P1*J1^(-0.5)*N1^(-1.5))</f>
        <v>21460.448148580184</v>
      </c>
      <c r="I1" t="s">
        <v>2</v>
      </c>
      <c r="J1" s="6">
        <v>3.3E-4</v>
      </c>
      <c r="K1" t="s">
        <v>7</v>
      </c>
      <c r="L1" s="6">
        <f>0.2*J1</f>
        <v>6.6000000000000005E-5</v>
      </c>
      <c r="M1" t="s">
        <v>3</v>
      </c>
      <c r="N1" s="6">
        <v>1.4999999999999999E-8</v>
      </c>
      <c r="O1" s="6" t="s">
        <v>8</v>
      </c>
      <c r="P1" s="6">
        <f>0.1*N1</f>
        <v>1.5E-9</v>
      </c>
    </row>
    <row r="2" spans="1:19" x14ac:dyDescent="0.3">
      <c r="A2" s="1" t="s">
        <v>12</v>
      </c>
      <c r="B2" s="5" t="s">
        <v>11</v>
      </c>
      <c r="C2" s="5" t="s">
        <v>1</v>
      </c>
      <c r="D2" s="5" t="s">
        <v>4</v>
      </c>
      <c r="E2" t="s">
        <v>5</v>
      </c>
      <c r="O2"/>
      <c r="Q2" s="6"/>
    </row>
    <row r="3" spans="1:19" x14ac:dyDescent="0.3">
      <c r="A3" s="1">
        <v>1</v>
      </c>
      <c r="B3" s="3">
        <f>20000 + (140000 - 20000) / 29 * (A3 - 1)</f>
        <v>20000</v>
      </c>
      <c r="C3" s="5">
        <f t="shared" ref="C3:C32" si="0">SQRT($J$1/$N$1)/SQRT(1-(B3/$F$1)^2)</f>
        <v>149.79482246118945</v>
      </c>
      <c r="D3" s="5">
        <v>150</v>
      </c>
      <c r="E3">
        <v>1</v>
      </c>
      <c r="I3" s="3"/>
      <c r="K3" s="3"/>
      <c r="M3" s="4"/>
      <c r="N3" s="4"/>
      <c r="O3"/>
      <c r="Q3" s="6"/>
      <c r="R3" s="6"/>
      <c r="S3" s="6"/>
    </row>
    <row r="4" spans="1:19" x14ac:dyDescent="0.3">
      <c r="A4" s="1">
        <v>2</v>
      </c>
      <c r="B4" s="3">
        <f t="shared" ref="B4:B32" si="1">20000 + (140000 - 20000) / 29 * (A4 - 1)</f>
        <v>24137.931034482761</v>
      </c>
      <c r="C4" s="5">
        <f t="shared" si="0"/>
        <v>150.48112340220254</v>
      </c>
      <c r="D4" s="5">
        <v>150</v>
      </c>
      <c r="E4">
        <v>1</v>
      </c>
      <c r="I4" s="3"/>
      <c r="K4" s="3"/>
      <c r="M4" s="4"/>
      <c r="N4" s="4"/>
      <c r="O4" s="7"/>
      <c r="P4" s="6"/>
      <c r="Q4" s="6"/>
      <c r="R4" s="6"/>
      <c r="S4" s="6"/>
    </row>
    <row r="5" spans="1:19" x14ac:dyDescent="0.3">
      <c r="A5" s="1">
        <v>3</v>
      </c>
      <c r="B5" s="3">
        <f t="shared" si="1"/>
        <v>28275.862068965518</v>
      </c>
      <c r="C5" s="5">
        <f t="shared" si="0"/>
        <v>151.30848898801256</v>
      </c>
      <c r="D5" s="5">
        <v>150</v>
      </c>
      <c r="E5">
        <v>1</v>
      </c>
      <c r="I5" s="3"/>
      <c r="K5" s="3"/>
      <c r="M5" s="4"/>
      <c r="N5" s="4"/>
      <c r="O5" s="7"/>
      <c r="P5" s="6"/>
      <c r="Q5" s="6"/>
      <c r="R5" s="6"/>
      <c r="S5" s="6"/>
    </row>
    <row r="6" spans="1:19" x14ac:dyDescent="0.3">
      <c r="A6" s="1">
        <v>4</v>
      </c>
      <c r="B6" s="3">
        <f t="shared" si="1"/>
        <v>32413.793103448275</v>
      </c>
      <c r="C6" s="5">
        <f t="shared" si="0"/>
        <v>152.2837553689883</v>
      </c>
      <c r="D6" s="5">
        <v>150</v>
      </c>
      <c r="E6">
        <v>1</v>
      </c>
      <c r="I6" s="3"/>
      <c r="K6" s="3"/>
      <c r="M6" s="4"/>
      <c r="N6" s="4"/>
      <c r="O6" s="7"/>
      <c r="P6" s="6"/>
      <c r="Q6" s="6"/>
      <c r="R6" s="6"/>
      <c r="S6" s="6"/>
    </row>
    <row r="7" spans="1:19" x14ac:dyDescent="0.3">
      <c r="A7" s="1">
        <v>5</v>
      </c>
      <c r="B7" s="3">
        <f t="shared" si="1"/>
        <v>36551.724137931036</v>
      </c>
      <c r="C7" s="5">
        <f t="shared" si="0"/>
        <v>153.4152373721042</v>
      </c>
      <c r="D7" s="5">
        <v>152</v>
      </c>
      <c r="E7">
        <v>1</v>
      </c>
      <c r="I7" s="3"/>
      <c r="K7" s="3"/>
      <c r="M7" s="4"/>
      <c r="N7" s="4"/>
      <c r="O7" s="7"/>
      <c r="P7" s="6"/>
      <c r="Q7" s="6"/>
      <c r="R7" s="6"/>
      <c r="S7" s="6"/>
    </row>
    <row r="8" spans="1:19" x14ac:dyDescent="0.3">
      <c r="A8" s="1">
        <v>6</v>
      </c>
      <c r="B8" s="3">
        <f t="shared" si="1"/>
        <v>40689.655172413797</v>
      </c>
      <c r="C8" s="5">
        <f t="shared" si="0"/>
        <v>154.71293759076062</v>
      </c>
      <c r="D8" s="5">
        <v>155</v>
      </c>
      <c r="E8">
        <v>1</v>
      </c>
      <c r="I8" s="3"/>
      <c r="K8" s="3"/>
      <c r="M8" s="4"/>
      <c r="N8" s="4"/>
      <c r="O8" s="7"/>
      <c r="P8" s="6"/>
      <c r="Q8" s="6"/>
      <c r="R8" s="6"/>
      <c r="S8" s="6"/>
    </row>
    <row r="9" spans="1:19" x14ac:dyDescent="0.3">
      <c r="A9" s="1">
        <v>7</v>
      </c>
      <c r="B9" s="3">
        <f t="shared" si="1"/>
        <v>44827.586206896551</v>
      </c>
      <c r="C9" s="5">
        <f t="shared" si="0"/>
        <v>156.18881108292061</v>
      </c>
      <c r="D9" s="5">
        <v>155</v>
      </c>
      <c r="E9">
        <v>1</v>
      </c>
      <c r="I9" s="3"/>
      <c r="K9" s="3"/>
      <c r="M9" s="4"/>
      <c r="N9" s="4"/>
      <c r="O9" s="7"/>
      <c r="P9" s="6"/>
      <c r="Q9" s="6"/>
      <c r="R9" s="6"/>
      <c r="S9" s="6"/>
    </row>
    <row r="10" spans="1:19" x14ac:dyDescent="0.3">
      <c r="A10" s="1">
        <v>8</v>
      </c>
      <c r="B10" s="3">
        <f t="shared" si="1"/>
        <v>48965.517241379312</v>
      </c>
      <c r="C10" s="5">
        <f t="shared" si="0"/>
        <v>157.85710034428041</v>
      </c>
      <c r="D10" s="5">
        <v>157</v>
      </c>
      <c r="E10">
        <v>1</v>
      </c>
      <c r="I10" s="3"/>
      <c r="K10" s="3"/>
      <c r="M10" s="4"/>
      <c r="N10" s="4"/>
      <c r="O10" s="7"/>
      <c r="P10" s="6"/>
      <c r="Q10" s="6"/>
      <c r="R10" s="6"/>
      <c r="S10" s="6"/>
    </row>
    <row r="11" spans="1:19" x14ac:dyDescent="0.3">
      <c r="A11" s="1">
        <v>9</v>
      </c>
      <c r="B11" s="3">
        <f t="shared" si="1"/>
        <v>53103.448275862072</v>
      </c>
      <c r="C11" s="5">
        <f t="shared" si="0"/>
        <v>159.73476042197606</v>
      </c>
      <c r="D11" s="5">
        <v>159</v>
      </c>
      <c r="E11">
        <v>1</v>
      </c>
      <c r="I11" s="3"/>
      <c r="K11" s="3"/>
      <c r="M11" s="4"/>
      <c r="N11" s="4"/>
      <c r="O11" s="7"/>
      <c r="P11" s="6"/>
      <c r="Q11" s="6"/>
      <c r="R11" s="6"/>
      <c r="S11" s="6"/>
    </row>
    <row r="12" spans="1:19" x14ac:dyDescent="0.3">
      <c r="A12" s="1">
        <v>10</v>
      </c>
      <c r="B12" s="3">
        <f t="shared" si="1"/>
        <v>57241.379310344833</v>
      </c>
      <c r="C12" s="5">
        <f t="shared" si="0"/>
        <v>161.84200130891242</v>
      </c>
      <c r="D12" s="5">
        <v>161</v>
      </c>
      <c r="E12">
        <v>1</v>
      </c>
      <c r="I12" s="3"/>
      <c r="K12" s="3"/>
      <c r="M12" s="4"/>
      <c r="N12" s="4"/>
      <c r="O12" s="7"/>
      <c r="P12" s="6"/>
      <c r="Q12" s="6"/>
      <c r="R12" s="6"/>
      <c r="S12" s="6"/>
    </row>
    <row r="13" spans="1:19" x14ac:dyDescent="0.3">
      <c r="A13" s="1">
        <v>11</v>
      </c>
      <c r="B13" s="3">
        <f t="shared" si="1"/>
        <v>61379.310344827594</v>
      </c>
      <c r="C13" s="5">
        <f t="shared" si="0"/>
        <v>164.2029851046187</v>
      </c>
      <c r="D13" s="5">
        <v>164</v>
      </c>
      <c r="E13">
        <v>1</v>
      </c>
      <c r="I13" s="3"/>
      <c r="K13" s="3"/>
      <c r="M13" s="4"/>
      <c r="N13" s="4"/>
      <c r="O13" s="7"/>
      <c r="P13" s="6"/>
      <c r="Q13" s="6"/>
      <c r="R13" s="6"/>
      <c r="S13" s="6"/>
    </row>
    <row r="14" spans="1:19" x14ac:dyDescent="0.3">
      <c r="A14" s="1">
        <v>12</v>
      </c>
      <c r="B14" s="3">
        <f t="shared" si="1"/>
        <v>65517.241379310348</v>
      </c>
      <c r="C14" s="5">
        <f t="shared" si="0"/>
        <v>166.84673039097018</v>
      </c>
      <c r="D14" s="5">
        <v>166</v>
      </c>
      <c r="E14">
        <v>1</v>
      </c>
      <c r="I14" s="3"/>
      <c r="K14" s="3"/>
      <c r="M14" s="4"/>
      <c r="N14" s="4"/>
      <c r="O14" s="7"/>
      <c r="P14" s="6"/>
      <c r="Q14" s="6"/>
      <c r="R14" s="6"/>
      <c r="S14" s="6"/>
    </row>
    <row r="15" spans="1:19" x14ac:dyDescent="0.3">
      <c r="A15" s="1">
        <v>13</v>
      </c>
      <c r="B15" s="3">
        <f t="shared" si="1"/>
        <v>69655.172413793101</v>
      </c>
      <c r="C15" s="5">
        <f t="shared" si="0"/>
        <v>169.80829829811819</v>
      </c>
      <c r="D15" s="5">
        <v>169</v>
      </c>
      <c r="E15">
        <v>1</v>
      </c>
      <c r="I15" s="3"/>
      <c r="K15" s="3"/>
      <c r="M15" s="4"/>
      <c r="N15" s="4"/>
      <c r="O15" s="7"/>
      <c r="P15" s="6"/>
      <c r="Q15" s="6"/>
      <c r="R15" s="6"/>
      <c r="S15" s="6"/>
    </row>
    <row r="16" spans="1:19" x14ac:dyDescent="0.3">
      <c r="A16" s="1">
        <v>14</v>
      </c>
      <c r="B16" s="3">
        <f t="shared" si="1"/>
        <v>73793.10344827587</v>
      </c>
      <c r="C16" s="5">
        <f t="shared" si="0"/>
        <v>173.13036779053925</v>
      </c>
      <c r="D16" s="5">
        <v>172</v>
      </c>
      <c r="E16">
        <v>1</v>
      </c>
      <c r="I16" s="3"/>
      <c r="K16" s="3"/>
      <c r="M16" s="4"/>
      <c r="N16" s="4"/>
      <c r="O16" s="7"/>
      <c r="P16" s="6"/>
      <c r="Q16" s="6"/>
      <c r="R16" s="6"/>
      <c r="S16" s="6"/>
    </row>
    <row r="17" spans="1:19" x14ac:dyDescent="0.3">
      <c r="A17" s="1">
        <v>15</v>
      </c>
      <c r="B17" s="3">
        <f t="shared" si="1"/>
        <v>77931.034482758623</v>
      </c>
      <c r="C17" s="5">
        <f t="shared" si="0"/>
        <v>176.86535835557407</v>
      </c>
      <c r="D17" s="5">
        <v>176</v>
      </c>
      <c r="E17">
        <v>1</v>
      </c>
      <c r="I17" s="3"/>
      <c r="K17" s="3"/>
      <c r="M17" s="4"/>
      <c r="N17" s="4"/>
      <c r="O17" s="7"/>
      <c r="P17" s="6"/>
      <c r="Q17" s="6"/>
      <c r="R17" s="6"/>
      <c r="S17" s="6"/>
    </row>
    <row r="18" spans="1:19" x14ac:dyDescent="0.3">
      <c r="A18" s="1">
        <v>16</v>
      </c>
      <c r="B18" s="3">
        <f t="shared" si="1"/>
        <v>82068.965517241391</v>
      </c>
      <c r="C18" s="5">
        <f t="shared" si="0"/>
        <v>181.07833771003652</v>
      </c>
      <c r="D18" s="5">
        <v>181</v>
      </c>
      <c r="E18">
        <v>1</v>
      </c>
      <c r="I18" s="3"/>
      <c r="K18" s="3"/>
      <c r="M18" s="4"/>
      <c r="N18" s="4"/>
      <c r="O18" s="7"/>
      <c r="P18" s="6"/>
      <c r="Q18" s="6"/>
      <c r="R18" s="6"/>
      <c r="S18" s="6"/>
    </row>
    <row r="19" spans="1:19" x14ac:dyDescent="0.3">
      <c r="A19" s="1">
        <v>17</v>
      </c>
      <c r="B19" s="3">
        <f t="shared" si="1"/>
        <v>86206.896551724145</v>
      </c>
      <c r="C19" s="5">
        <f t="shared" si="0"/>
        <v>185.85107995124156</v>
      </c>
      <c r="D19" s="5">
        <v>186</v>
      </c>
      <c r="E19">
        <v>1</v>
      </c>
      <c r="I19" s="3"/>
      <c r="K19" s="3"/>
      <c r="M19" s="4"/>
      <c r="N19" s="4"/>
      <c r="O19" s="7"/>
      <c r="P19" s="6"/>
      <c r="Q19" s="6"/>
      <c r="R19" s="6"/>
      <c r="S19" s="6"/>
    </row>
    <row r="20" spans="1:19" x14ac:dyDescent="0.3">
      <c r="A20" s="1">
        <v>18</v>
      </c>
      <c r="B20" s="3">
        <f t="shared" si="1"/>
        <v>90344.827586206899</v>
      </c>
      <c r="C20" s="5">
        <f t="shared" si="0"/>
        <v>191.28785124764366</v>
      </c>
      <c r="D20" s="5">
        <v>191</v>
      </c>
      <c r="E20">
        <v>1</v>
      </c>
      <c r="I20" s="3"/>
      <c r="K20" s="3"/>
      <c r="M20" s="4"/>
      <c r="N20" s="4"/>
      <c r="O20" s="7"/>
      <c r="P20" s="6"/>
      <c r="Q20" s="6"/>
      <c r="R20" s="6"/>
      <c r="S20" s="6"/>
    </row>
    <row r="21" spans="1:19" x14ac:dyDescent="0.3">
      <c r="A21" s="1">
        <v>19</v>
      </c>
      <c r="B21" s="3">
        <f t="shared" si="1"/>
        <v>94482.758620689667</v>
      </c>
      <c r="C21" s="5">
        <f t="shared" si="0"/>
        <v>197.52386233701782</v>
      </c>
      <c r="D21" s="5">
        <v>197</v>
      </c>
      <c r="E21">
        <v>1</v>
      </c>
      <c r="I21" s="3"/>
      <c r="K21" s="3"/>
      <c r="M21" s="4"/>
      <c r="N21" s="4"/>
      <c r="O21" s="7"/>
      <c r="P21" s="6"/>
      <c r="Q21" s="6"/>
      <c r="R21" s="6"/>
      <c r="S21" s="6"/>
    </row>
    <row r="22" spans="1:19" x14ac:dyDescent="0.3">
      <c r="A22" s="1">
        <v>20</v>
      </c>
      <c r="B22" s="3">
        <f t="shared" si="1"/>
        <v>98620.68965517242</v>
      </c>
      <c r="C22" s="5">
        <f t="shared" si="0"/>
        <v>204.73797031221582</v>
      </c>
      <c r="D22" s="5">
        <v>204</v>
      </c>
      <c r="E22">
        <v>1</v>
      </c>
      <c r="I22" s="3"/>
      <c r="K22" s="3"/>
      <c r="M22" s="4"/>
      <c r="N22" s="4"/>
      <c r="O22" s="7"/>
      <c r="P22" s="6"/>
      <c r="Q22" s="6"/>
      <c r="R22" s="6"/>
      <c r="S22" s="6"/>
    </row>
    <row r="23" spans="1:19" x14ac:dyDescent="0.3">
      <c r="A23" s="1">
        <v>21</v>
      </c>
      <c r="B23" s="3">
        <f t="shared" si="1"/>
        <v>102758.62068965519</v>
      </c>
      <c r="C23" s="5">
        <f t="shared" si="0"/>
        <v>213.17240468712598</v>
      </c>
      <c r="D23" s="5">
        <v>214</v>
      </c>
      <c r="E23">
        <v>1</v>
      </c>
      <c r="I23" s="3"/>
      <c r="K23" s="3"/>
      <c r="M23" s="4"/>
      <c r="N23" s="4"/>
      <c r="O23" s="7"/>
      <c r="P23" s="6"/>
      <c r="Q23" s="6"/>
      <c r="R23" s="6"/>
      <c r="S23" s="6"/>
    </row>
    <row r="24" spans="1:19" x14ac:dyDescent="0.3">
      <c r="A24" s="1">
        <v>22</v>
      </c>
      <c r="B24" s="3">
        <f t="shared" si="1"/>
        <v>106896.55172413794</v>
      </c>
      <c r="C24" s="5">
        <f t="shared" si="0"/>
        <v>223.16461751899254</v>
      </c>
      <c r="D24" s="5">
        <v>222</v>
      </c>
      <c r="E24">
        <v>1</v>
      </c>
      <c r="I24" s="3"/>
      <c r="K24" s="3"/>
      <c r="M24" s="4"/>
      <c r="N24" s="4"/>
      <c r="O24" s="7"/>
      <c r="P24" s="6"/>
      <c r="Q24" s="6"/>
      <c r="R24" s="6"/>
      <c r="S24" s="6"/>
    </row>
    <row r="25" spans="1:19" x14ac:dyDescent="0.3">
      <c r="A25" s="1">
        <v>23</v>
      </c>
      <c r="B25" s="3">
        <f t="shared" si="1"/>
        <v>111034.4827586207</v>
      </c>
      <c r="C25" s="5">
        <f t="shared" si="0"/>
        <v>235.20116751611238</v>
      </c>
      <c r="D25" s="5">
        <v>235</v>
      </c>
      <c r="E25">
        <v>1</v>
      </c>
      <c r="I25" s="3"/>
      <c r="K25" s="3"/>
      <c r="M25" s="4"/>
      <c r="N25" s="4"/>
      <c r="O25" s="7"/>
      <c r="P25" s="6"/>
      <c r="Q25" s="6"/>
      <c r="R25" s="6"/>
      <c r="S25" s="6"/>
    </row>
    <row r="26" spans="1:19" x14ac:dyDescent="0.3">
      <c r="A26" s="1">
        <v>24</v>
      </c>
      <c r="B26" s="3">
        <f t="shared" si="1"/>
        <v>115172.41379310346</v>
      </c>
      <c r="C26" s="5">
        <f t="shared" si="0"/>
        <v>250.01424222008845</v>
      </c>
      <c r="D26" s="5">
        <v>250</v>
      </c>
      <c r="E26">
        <v>1</v>
      </c>
      <c r="I26" s="3"/>
      <c r="K26" s="3"/>
      <c r="M26" s="4"/>
      <c r="N26" s="4"/>
      <c r="O26" s="7"/>
      <c r="P26" s="6"/>
      <c r="Q26" s="6"/>
      <c r="R26" s="6"/>
      <c r="S26" s="6"/>
    </row>
    <row r="27" spans="1:19" x14ac:dyDescent="0.3">
      <c r="A27" s="1">
        <v>25</v>
      </c>
      <c r="B27" s="3">
        <f t="shared" si="1"/>
        <v>119310.34482758622</v>
      </c>
      <c r="C27" s="5">
        <f t="shared" si="0"/>
        <v>268.76740471343095</v>
      </c>
      <c r="D27" s="5">
        <v>269</v>
      </c>
      <c r="E27">
        <v>1</v>
      </c>
      <c r="I27" s="3"/>
      <c r="K27" s="3"/>
      <c r="M27" s="4"/>
      <c r="N27" s="4"/>
      <c r="O27" s="7"/>
      <c r="P27" s="6"/>
      <c r="Q27" s="6"/>
      <c r="R27" s="6"/>
      <c r="S27" s="6"/>
    </row>
    <row r="28" spans="1:19" x14ac:dyDescent="0.3">
      <c r="A28" s="1">
        <v>26</v>
      </c>
      <c r="B28" s="3">
        <f t="shared" si="1"/>
        <v>123448.27586206897</v>
      </c>
      <c r="C28" s="5">
        <f t="shared" si="0"/>
        <v>293.44782506897855</v>
      </c>
      <c r="D28" s="5">
        <v>293</v>
      </c>
      <c r="E28">
        <v>1</v>
      </c>
      <c r="I28" s="3"/>
      <c r="K28" s="3"/>
      <c r="M28" s="4"/>
      <c r="N28" s="4"/>
      <c r="O28" s="7"/>
      <c r="P28" s="6"/>
      <c r="Q28" s="6"/>
      <c r="R28" s="6"/>
      <c r="S28" s="6"/>
    </row>
    <row r="29" spans="1:19" x14ac:dyDescent="0.3">
      <c r="A29" s="1">
        <v>27</v>
      </c>
      <c r="B29" s="3">
        <f t="shared" si="1"/>
        <v>127586.20689655174</v>
      </c>
      <c r="C29" s="5">
        <f t="shared" si="0"/>
        <v>327.80556198031951</v>
      </c>
      <c r="D29" s="5">
        <v>328</v>
      </c>
      <c r="E29">
        <v>1</v>
      </c>
      <c r="I29" s="3"/>
      <c r="K29" s="3"/>
      <c r="M29" s="4"/>
      <c r="N29" s="4"/>
      <c r="O29" s="7"/>
      <c r="P29" s="6"/>
      <c r="Q29" s="6"/>
      <c r="R29" s="6"/>
      <c r="S29" s="6"/>
    </row>
    <row r="30" spans="1:19" x14ac:dyDescent="0.3">
      <c r="A30" s="1">
        <v>28</v>
      </c>
      <c r="B30" s="3">
        <f t="shared" si="1"/>
        <v>131724.13793103449</v>
      </c>
      <c r="C30" s="5">
        <f t="shared" si="0"/>
        <v>380.05222169182809</v>
      </c>
      <c r="D30" s="5">
        <v>379</v>
      </c>
      <c r="E30">
        <v>1</v>
      </c>
      <c r="I30" s="3"/>
      <c r="K30" s="3"/>
      <c r="M30" s="4"/>
      <c r="N30" s="4"/>
      <c r="O30" s="7"/>
      <c r="P30" s="6"/>
      <c r="Q30" s="6"/>
      <c r="R30" s="6"/>
      <c r="S30" s="6"/>
    </row>
    <row r="31" spans="1:19" x14ac:dyDescent="0.3">
      <c r="A31" s="1">
        <v>29</v>
      </c>
      <c r="B31" s="3">
        <f t="shared" si="1"/>
        <v>135862.06896551725</v>
      </c>
      <c r="C31" s="5">
        <f t="shared" si="0"/>
        <v>473.27658223272886</v>
      </c>
      <c r="D31" s="5">
        <v>474</v>
      </c>
      <c r="E31">
        <v>1</v>
      </c>
      <c r="I31" s="3"/>
      <c r="K31" s="3"/>
      <c r="M31" s="4"/>
      <c r="N31" s="4"/>
      <c r="O31" s="7"/>
      <c r="P31" s="6"/>
      <c r="Q31" s="6"/>
      <c r="R31" s="6"/>
      <c r="S31" s="6"/>
    </row>
    <row r="32" spans="1:19" x14ac:dyDescent="0.3">
      <c r="A32" s="1">
        <v>30</v>
      </c>
      <c r="B32" s="3">
        <f t="shared" si="1"/>
        <v>140000</v>
      </c>
      <c r="C32" s="5">
        <f t="shared" si="0"/>
        <v>719.89221151330219</v>
      </c>
      <c r="D32" s="5">
        <v>721</v>
      </c>
      <c r="E32">
        <v>1</v>
      </c>
      <c r="I32" s="3"/>
      <c r="K32" s="3"/>
      <c r="M32" s="4"/>
      <c r="N32" s="4"/>
      <c r="O32" s="7"/>
      <c r="P32" s="6"/>
      <c r="Q32" s="6"/>
      <c r="R32" s="6"/>
      <c r="S32" s="6"/>
    </row>
    <row r="33" spans="1:19" x14ac:dyDescent="0.3">
      <c r="A33" s="2"/>
      <c r="I33" s="3"/>
      <c r="K33" s="3"/>
      <c r="M33" s="4"/>
      <c r="N33" s="4"/>
      <c r="O33" s="7"/>
      <c r="P33" s="6"/>
      <c r="Q33" s="6"/>
      <c r="R33" s="6"/>
      <c r="S33" s="6"/>
    </row>
    <row r="34" spans="1:19" x14ac:dyDescent="0.3">
      <c r="I34" s="3"/>
      <c r="K34" s="3"/>
      <c r="M34" s="4"/>
      <c r="N34" s="4"/>
      <c r="O34" s="7"/>
      <c r="P34" s="6"/>
      <c r="Q34" s="6"/>
      <c r="R34" s="6"/>
      <c r="S34" s="6"/>
    </row>
    <row r="35" spans="1:19" x14ac:dyDescent="0.3">
      <c r="I35" s="3"/>
      <c r="K35" s="3"/>
      <c r="M35" s="4"/>
      <c r="N35" s="4"/>
      <c r="O35" s="7"/>
      <c r="P35" s="6"/>
      <c r="Q35" s="6"/>
      <c r="R35" s="6"/>
      <c r="S35" s="6"/>
    </row>
    <row r="36" spans="1:19" x14ac:dyDescent="0.3">
      <c r="A36" s="5"/>
      <c r="K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Mansilla, Saul</dc:creator>
  <cp:lastModifiedBy>Saúl Díaz Mansilla</cp:lastModifiedBy>
  <dcterms:created xsi:type="dcterms:W3CDTF">2026-02-12T11:28:20Z</dcterms:created>
  <dcterms:modified xsi:type="dcterms:W3CDTF">2026-02-26T10:42:38Z</dcterms:modified>
</cp:coreProperties>
</file>