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laboratory-waves\data\electrical\"/>
    </mc:Choice>
  </mc:AlternateContent>
  <xr:revisionPtr revIDLastSave="0" documentId="13_ncr:1_{E8D4D5CE-6880-43FC-8C8B-8E5617F47709}" xr6:coauthVersionLast="47" xr6:coauthVersionMax="47" xr10:uidLastSave="{00000000-0000-0000-0000-000000000000}"/>
  <bookViews>
    <workbookView xWindow="-108" yWindow="-108" windowWidth="23256" windowHeight="12456" xr2:uid="{D73005F2-5D69-4685-BA2C-A4D36748CC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" i="1"/>
  <c r="O3" i="1"/>
  <c r="M35" i="1"/>
  <c r="K35" i="1"/>
  <c r="J35" i="1"/>
  <c r="L35" i="1"/>
  <c r="M34" i="1"/>
  <c r="D35" i="1"/>
  <c r="K34" i="1"/>
  <c r="J34" i="1"/>
  <c r="L34" i="1"/>
  <c r="D34" i="1"/>
  <c r="K28" i="1"/>
  <c r="K29" i="1"/>
  <c r="K30" i="1"/>
  <c r="K31" i="1"/>
  <c r="K32" i="1"/>
  <c r="K33" i="1"/>
  <c r="J28" i="1"/>
  <c r="J29" i="1"/>
  <c r="J30" i="1"/>
  <c r="J31" i="1"/>
  <c r="J32" i="1"/>
  <c r="J33" i="1"/>
  <c r="D28" i="1"/>
  <c r="D29" i="1"/>
  <c r="D30" i="1"/>
  <c r="D31" i="1"/>
  <c r="D32" i="1"/>
  <c r="D3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K24" i="1"/>
  <c r="K25" i="1"/>
  <c r="K26" i="1"/>
  <c r="K27" i="1"/>
  <c r="D19" i="1"/>
  <c r="D20" i="1"/>
  <c r="D21" i="1"/>
  <c r="D22" i="1"/>
  <c r="D23" i="1"/>
  <c r="D24" i="1"/>
  <c r="D25" i="1"/>
  <c r="D26" i="1"/>
  <c r="D27" i="1"/>
  <c r="M18" i="1"/>
  <c r="L19" i="1"/>
  <c r="L20" i="1"/>
  <c r="L21" i="1" s="1"/>
  <c r="D18" i="1"/>
  <c r="M19" i="1" s="1"/>
  <c r="D17" i="1"/>
  <c r="L4" i="1"/>
  <c r="L5" i="1"/>
  <c r="L6" i="1"/>
  <c r="D4" i="1"/>
  <c r="D5" i="1"/>
  <c r="M5" i="1" s="1"/>
  <c r="D6" i="1"/>
  <c r="M6" i="1" s="1"/>
  <c r="D7" i="1"/>
  <c r="M7" i="1" s="1"/>
  <c r="D8" i="1"/>
  <c r="M8" i="1" s="1"/>
  <c r="D9" i="1"/>
  <c r="M9" i="1" s="1"/>
  <c r="D10" i="1"/>
  <c r="M10" i="1" s="1"/>
  <c r="D11" i="1"/>
  <c r="M11" i="1" s="1"/>
  <c r="D12" i="1"/>
  <c r="M12" i="1" s="1"/>
  <c r="D13" i="1"/>
  <c r="L13" i="1" s="1"/>
  <c r="D14" i="1"/>
  <c r="L14" i="1" s="1"/>
  <c r="D15" i="1"/>
  <c r="L15" i="1" s="1"/>
  <c r="D16" i="1"/>
  <c r="M16" i="1" s="1"/>
  <c r="D3" i="1"/>
  <c r="L3" i="1" s="1"/>
  <c r="M17" i="1" l="1"/>
  <c r="M22" i="1"/>
  <c r="L22" i="1"/>
  <c r="M21" i="1"/>
  <c r="L17" i="1"/>
  <c r="L11" i="1"/>
  <c r="L10" i="1"/>
  <c r="L9" i="1"/>
  <c r="L12" i="1"/>
  <c r="L8" i="1"/>
  <c r="L7" i="1"/>
  <c r="M20" i="1"/>
  <c r="M4" i="1"/>
  <c r="M15" i="1"/>
  <c r="M13" i="1"/>
  <c r="L16" i="1"/>
  <c r="L18" i="1"/>
  <c r="M14" i="1"/>
  <c r="L23" i="1" l="1"/>
  <c r="M23" i="1"/>
  <c r="L24" i="1" l="1"/>
  <c r="M24" i="1"/>
  <c r="L25" i="1" l="1"/>
  <c r="M25" i="1"/>
  <c r="L26" i="1" l="1"/>
  <c r="M26" i="1"/>
  <c r="L27" i="1" l="1"/>
  <c r="M27" i="1"/>
  <c r="M28" i="1" l="1"/>
  <c r="L28" i="1"/>
  <c r="L30" i="1"/>
  <c r="M31" i="1" s="1"/>
  <c r="M30" i="1"/>
  <c r="M29" i="1"/>
  <c r="L29" i="1"/>
  <c r="L31" i="1" l="1"/>
  <c r="M32" i="1" s="1"/>
  <c r="L32" i="1" l="1"/>
  <c r="L33" i="1" s="1"/>
  <c r="M33" i="1" l="1"/>
</calcChain>
</file>

<file path=xl/sharedStrings.xml><?xml version="1.0" encoding="utf-8"?>
<sst xmlns="http://schemas.openxmlformats.org/spreadsheetml/2006/main" count="17" uniqueCount="16">
  <si>
    <t>n</t>
  </si>
  <si>
    <t>in phase</t>
  </si>
  <si>
    <t>err</t>
  </si>
  <si>
    <t>ratio</t>
  </si>
  <si>
    <t>freq (Hz)</t>
  </si>
  <si>
    <t>err (V)</t>
  </si>
  <si>
    <t>sections</t>
  </si>
  <si>
    <t>k_n (sections^-1)</t>
  </si>
  <si>
    <t>File number</t>
  </si>
  <si>
    <t>Vpp in (V)</t>
  </si>
  <si>
    <t>vpp_0 (V)</t>
  </si>
  <si>
    <t>vpp_38 (V)</t>
  </si>
  <si>
    <t>v_phase (sections/s)</t>
  </si>
  <si>
    <t>v_group (sections/s)</t>
  </si>
  <si>
    <t>f_c sin(k/2l-0)</t>
  </si>
  <si>
    <t>f_c (s^-1)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</si>
</sst>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0.000"/>
    <numFmt numFmtId="166" formatCode="0.0000000"/>
    <numFmt numFmtId="167" formatCode="0.000E+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12" fontId="0" fillId="0" borderId="0" xfId="1" applyNumberFormat="1" applyFont="1" applyAlignment="1">
      <alignment horizontal="left"/>
    </xf>
    <xf numFmtId="12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11" fontId="0" fillId="0" borderId="0" xfId="0" applyNumberFormat="1"/>
    <xf numFmtId="167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Sheet1!$K$3:$K$35</c:f>
                <c:numCache>
                  <c:formatCode>General</c:formatCode>
                  <c:ptCount val="33"/>
                  <c:pt idx="0">
                    <c:v>4.7088257352182481E-3</c:v>
                  </c:pt>
                  <c:pt idx="1">
                    <c:v>5.3224747080253716E-3</c:v>
                  </c:pt>
                  <c:pt idx="2">
                    <c:v>5.7471309267223833E-3</c:v>
                  </c:pt>
                  <c:pt idx="3">
                    <c:v>5.5080235935815883E-3</c:v>
                  </c:pt>
                  <c:pt idx="4">
                    <c:v>4.8516817709692234E-3</c:v>
                  </c:pt>
                  <c:pt idx="5">
                    <c:v>5.344767785819376E-3</c:v>
                  </c:pt>
                  <c:pt idx="6">
                    <c:v>5.0661434788606434E-3</c:v>
                  </c:pt>
                  <c:pt idx="7">
                    <c:v>5.0729084359960605E-3</c:v>
                  </c:pt>
                  <c:pt idx="8">
                    <c:v>5.6619985293600269E-3</c:v>
                  </c:pt>
                  <c:pt idx="9">
                    <c:v>4.8781686534771721E-3</c:v>
                  </c:pt>
                  <c:pt idx="10">
                    <c:v>4.6444992788616342E-3</c:v>
                  </c:pt>
                  <c:pt idx="11">
                    <c:v>3.846713790030877E-3</c:v>
                  </c:pt>
                  <c:pt idx="12">
                    <c:v>5.2185345076769625E-3</c:v>
                  </c:pt>
                  <c:pt idx="13">
                    <c:v>3.8289293610729793E-3</c:v>
                  </c:pt>
                  <c:pt idx="14">
                    <c:v>4.2302400584226484E-3</c:v>
                  </c:pt>
                  <c:pt idx="15">
                    <c:v>4.2678275744095998E-3</c:v>
                  </c:pt>
                  <c:pt idx="16">
                    <c:v>3.3384142686238277E-3</c:v>
                  </c:pt>
                  <c:pt idx="17">
                    <c:v>5.7943153411745473E-3</c:v>
                  </c:pt>
                  <c:pt idx="18">
                    <c:v>3.3659363023897373E-3</c:v>
                  </c:pt>
                  <c:pt idx="19">
                    <c:v>3.9230289981498478E-3</c:v>
                  </c:pt>
                  <c:pt idx="20">
                    <c:v>2.8683386551241236E-3</c:v>
                  </c:pt>
                  <c:pt idx="21">
                    <c:v>4.0290484566779024E-3</c:v>
                  </c:pt>
                  <c:pt idx="22">
                    <c:v>4.7848183391003456E-3</c:v>
                  </c:pt>
                  <c:pt idx="23">
                    <c:v>4.4690674053554941E-3</c:v>
                  </c:pt>
                  <c:pt idx="24">
                    <c:v>3.8566512400617062E-3</c:v>
                  </c:pt>
                  <c:pt idx="25">
                    <c:v>4.142670705571054E-3</c:v>
                  </c:pt>
                  <c:pt idx="26">
                    <c:v>3.1558641975308645E-3</c:v>
                  </c:pt>
                  <c:pt idx="27">
                    <c:v>4.2386831275720164E-3</c:v>
                  </c:pt>
                  <c:pt idx="28">
                    <c:v>2.7733989181127801E-3</c:v>
                  </c:pt>
                  <c:pt idx="29">
                    <c:v>2.5887573964497044E-3</c:v>
                  </c:pt>
                  <c:pt idx="30">
                    <c:v>2.5988479821928596E-3</c:v>
                  </c:pt>
                  <c:pt idx="31">
                    <c:v>3.0023243801652892E-3</c:v>
                  </c:pt>
                  <c:pt idx="32">
                    <c:v>2.855347180732614E-3</c:v>
                  </c:pt>
                </c:numCache>
              </c:numRef>
            </c:plus>
            <c:minus>
              <c:numRef>
                <c:f>Sheet1!$K$3:$K$35</c:f>
                <c:numCache>
                  <c:formatCode>General</c:formatCode>
                  <c:ptCount val="33"/>
                  <c:pt idx="0">
                    <c:v>4.7088257352182481E-3</c:v>
                  </c:pt>
                  <c:pt idx="1">
                    <c:v>5.3224747080253716E-3</c:v>
                  </c:pt>
                  <c:pt idx="2">
                    <c:v>5.7471309267223833E-3</c:v>
                  </c:pt>
                  <c:pt idx="3">
                    <c:v>5.5080235935815883E-3</c:v>
                  </c:pt>
                  <c:pt idx="4">
                    <c:v>4.8516817709692234E-3</c:v>
                  </c:pt>
                  <c:pt idx="5">
                    <c:v>5.344767785819376E-3</c:v>
                  </c:pt>
                  <c:pt idx="6">
                    <c:v>5.0661434788606434E-3</c:v>
                  </c:pt>
                  <c:pt idx="7">
                    <c:v>5.0729084359960605E-3</c:v>
                  </c:pt>
                  <c:pt idx="8">
                    <c:v>5.6619985293600269E-3</c:v>
                  </c:pt>
                  <c:pt idx="9">
                    <c:v>4.8781686534771721E-3</c:v>
                  </c:pt>
                  <c:pt idx="10">
                    <c:v>4.6444992788616342E-3</c:v>
                  </c:pt>
                  <c:pt idx="11">
                    <c:v>3.846713790030877E-3</c:v>
                  </c:pt>
                  <c:pt idx="12">
                    <c:v>5.2185345076769625E-3</c:v>
                  </c:pt>
                  <c:pt idx="13">
                    <c:v>3.8289293610729793E-3</c:v>
                  </c:pt>
                  <c:pt idx="14">
                    <c:v>4.2302400584226484E-3</c:v>
                  </c:pt>
                  <c:pt idx="15">
                    <c:v>4.2678275744095998E-3</c:v>
                  </c:pt>
                  <c:pt idx="16">
                    <c:v>3.3384142686238277E-3</c:v>
                  </c:pt>
                  <c:pt idx="17">
                    <c:v>5.7943153411745473E-3</c:v>
                  </c:pt>
                  <c:pt idx="18">
                    <c:v>3.3659363023897373E-3</c:v>
                  </c:pt>
                  <c:pt idx="19">
                    <c:v>3.9230289981498478E-3</c:v>
                  </c:pt>
                  <c:pt idx="20">
                    <c:v>2.8683386551241236E-3</c:v>
                  </c:pt>
                  <c:pt idx="21">
                    <c:v>4.0290484566779024E-3</c:v>
                  </c:pt>
                  <c:pt idx="22">
                    <c:v>4.7848183391003456E-3</c:v>
                  </c:pt>
                  <c:pt idx="23">
                    <c:v>4.4690674053554941E-3</c:v>
                  </c:pt>
                  <c:pt idx="24">
                    <c:v>3.8566512400617062E-3</c:v>
                  </c:pt>
                  <c:pt idx="25">
                    <c:v>4.142670705571054E-3</c:v>
                  </c:pt>
                  <c:pt idx="26">
                    <c:v>3.1558641975308645E-3</c:v>
                  </c:pt>
                  <c:pt idx="27">
                    <c:v>4.2386831275720164E-3</c:v>
                  </c:pt>
                  <c:pt idx="28">
                    <c:v>2.7733989181127801E-3</c:v>
                  </c:pt>
                  <c:pt idx="29">
                    <c:v>2.5887573964497044E-3</c:v>
                  </c:pt>
                  <c:pt idx="30">
                    <c:v>2.5988479821928596E-3</c:v>
                  </c:pt>
                  <c:pt idx="31">
                    <c:v>3.0023243801652892E-3</c:v>
                  </c:pt>
                  <c:pt idx="32">
                    <c:v>2.855347180732614E-3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Sheet1!$E$3:$E$35</c:f>
              <c:numCache>
                <c:formatCode>0</c:formatCode>
                <c:ptCount val="33"/>
                <c:pt idx="0">
                  <c:v>20</c:v>
                </c:pt>
                <c:pt idx="1">
                  <c:v>5900</c:v>
                </c:pt>
                <c:pt idx="2">
                  <c:v>11800</c:v>
                </c:pt>
                <c:pt idx="3">
                  <c:v>17800</c:v>
                </c:pt>
                <c:pt idx="4">
                  <c:v>23600</c:v>
                </c:pt>
                <c:pt idx="5">
                  <c:v>29500</c:v>
                </c:pt>
                <c:pt idx="6">
                  <c:v>35200</c:v>
                </c:pt>
                <c:pt idx="7">
                  <c:v>41200</c:v>
                </c:pt>
                <c:pt idx="8">
                  <c:v>46700</c:v>
                </c:pt>
                <c:pt idx="9">
                  <c:v>52200</c:v>
                </c:pt>
                <c:pt idx="10">
                  <c:v>57700</c:v>
                </c:pt>
                <c:pt idx="11">
                  <c:v>63500</c:v>
                </c:pt>
                <c:pt idx="12">
                  <c:v>69300</c:v>
                </c:pt>
                <c:pt idx="13">
                  <c:v>73800</c:v>
                </c:pt>
                <c:pt idx="14">
                  <c:v>79500</c:v>
                </c:pt>
                <c:pt idx="15">
                  <c:v>84000</c:v>
                </c:pt>
                <c:pt idx="16">
                  <c:v>89200</c:v>
                </c:pt>
                <c:pt idx="17">
                  <c:v>93850</c:v>
                </c:pt>
                <c:pt idx="18">
                  <c:v>98300</c:v>
                </c:pt>
                <c:pt idx="19">
                  <c:v>102400</c:v>
                </c:pt>
                <c:pt idx="20">
                  <c:v>107750</c:v>
                </c:pt>
                <c:pt idx="21">
                  <c:v>111500</c:v>
                </c:pt>
                <c:pt idx="22">
                  <c:v>116100</c:v>
                </c:pt>
                <c:pt idx="23">
                  <c:v>119200</c:v>
                </c:pt>
                <c:pt idx="24">
                  <c:v>123000</c:v>
                </c:pt>
                <c:pt idx="25">
                  <c:v>126100</c:v>
                </c:pt>
                <c:pt idx="26">
                  <c:v>130000</c:v>
                </c:pt>
                <c:pt idx="27">
                  <c:v>132700</c:v>
                </c:pt>
                <c:pt idx="28">
                  <c:v>136000</c:v>
                </c:pt>
                <c:pt idx="29">
                  <c:v>138700</c:v>
                </c:pt>
                <c:pt idx="30">
                  <c:v>141200</c:v>
                </c:pt>
                <c:pt idx="31">
                  <c:v>143500</c:v>
                </c:pt>
                <c:pt idx="32">
                  <c:v>145300</c:v>
                </c:pt>
              </c:numCache>
            </c:numRef>
          </c:xVal>
          <c:yVal>
            <c:numRef>
              <c:f>Sheet1!$J$3:$J$35</c:f>
              <c:numCache>
                <c:formatCode>0.000</c:formatCode>
                <c:ptCount val="33"/>
                <c:pt idx="0">
                  <c:v>0.88649155722326445</c:v>
                </c:pt>
                <c:pt idx="1">
                  <c:v>0.91764705882352937</c:v>
                </c:pt>
                <c:pt idx="2">
                  <c:v>0.95</c:v>
                </c:pt>
                <c:pt idx="3">
                  <c:v>0.90612244897959182</c:v>
                </c:pt>
                <c:pt idx="4">
                  <c:v>0.81578947368421051</c:v>
                </c:pt>
                <c:pt idx="5">
                  <c:v>0.85365853658536595</c:v>
                </c:pt>
                <c:pt idx="6">
                  <c:v>0.79365079365079361</c:v>
                </c:pt>
                <c:pt idx="7">
                  <c:v>0.78</c:v>
                </c:pt>
                <c:pt idx="8">
                  <c:v>0.82532751091703049</c:v>
                </c:pt>
                <c:pt idx="9">
                  <c:v>0.72332015810276684</c:v>
                </c:pt>
                <c:pt idx="10">
                  <c:v>0.67692307692307685</c:v>
                </c:pt>
                <c:pt idx="11">
                  <c:v>0.56040268456375841</c:v>
                </c:pt>
                <c:pt idx="12">
                  <c:v>0.64473684210526316</c:v>
                </c:pt>
                <c:pt idx="13">
                  <c:v>0.49140893470790376</c:v>
                </c:pt>
                <c:pt idx="14">
                  <c:v>0.55185185185185182</c:v>
                </c:pt>
                <c:pt idx="15">
                  <c:v>0.52830188679245282</c:v>
                </c:pt>
                <c:pt idx="16">
                  <c:v>0.39440993788819873</c:v>
                </c:pt>
                <c:pt idx="17">
                  <c:v>0.59701492537313439</c:v>
                </c:pt>
                <c:pt idx="18">
                  <c:v>0.35238095238095241</c:v>
                </c:pt>
                <c:pt idx="19">
                  <c:v>0.32462686567164178</c:v>
                </c:pt>
                <c:pt idx="20">
                  <c:v>0.26869806094182824</c:v>
                </c:pt>
                <c:pt idx="21">
                  <c:v>0.28526645768025077</c:v>
                </c:pt>
                <c:pt idx="22">
                  <c:v>0.3014705882352941</c:v>
                </c:pt>
                <c:pt idx="23">
                  <c:v>0.27368421052631581</c:v>
                </c:pt>
                <c:pt idx="24">
                  <c:v>0.22641509433962262</c:v>
                </c:pt>
                <c:pt idx="25">
                  <c:v>0.19723183391003457</c:v>
                </c:pt>
                <c:pt idx="26">
                  <c:v>0.1361111111111111</c:v>
                </c:pt>
                <c:pt idx="27">
                  <c:v>0.14444444444444443</c:v>
                </c:pt>
                <c:pt idx="28">
                  <c:v>8.4398976982097182E-2</c:v>
                </c:pt>
                <c:pt idx="29">
                  <c:v>7.6923076923076927E-2</c:v>
                </c:pt>
                <c:pt idx="30">
                  <c:v>6.8126520681265207E-2</c:v>
                </c:pt>
                <c:pt idx="31">
                  <c:v>5.6818181818181823E-2</c:v>
                </c:pt>
                <c:pt idx="32">
                  <c:v>2.5069637883008356E-2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8E-45D6-A23A-0A5F4134E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86256"/>
        <c:axId val="160084816"/>
      </c:scatterChart>
      <c:valAx>
        <c:axId val="16008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84816"/>
        <c:crosses val="autoZero"/>
        <c:crossBetween val="midCat"/>
      </c:valAx>
      <c:valAx>
        <c:axId val="16008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V_out/V_in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8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6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Dispersion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Experimental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Sheet1!$D$3:$D$35</c:f>
              <c:numCache>
                <c:formatCode>0.0000000</c:formatCode>
                <c:ptCount val="33"/>
                <c:pt idx="0">
                  <c:v>0</c:v>
                </c:pt>
                <c:pt idx="1">
                  <c:v>8.2673490883941922E-2</c:v>
                </c:pt>
                <c:pt idx="2">
                  <c:v>0.16534698176788384</c:v>
                </c:pt>
                <c:pt idx="3">
                  <c:v>0.24802047265182578</c:v>
                </c:pt>
                <c:pt idx="4">
                  <c:v>0.33069396353576769</c:v>
                </c:pt>
                <c:pt idx="5">
                  <c:v>0.41336745441970962</c:v>
                </c:pt>
                <c:pt idx="6">
                  <c:v>0.49604094530365156</c:v>
                </c:pt>
                <c:pt idx="7">
                  <c:v>0.57871443618759344</c:v>
                </c:pt>
                <c:pt idx="8">
                  <c:v>0.66138792707153538</c:v>
                </c:pt>
                <c:pt idx="9">
                  <c:v>0.74406141795547731</c:v>
                </c:pt>
                <c:pt idx="10">
                  <c:v>0.82673490883941925</c:v>
                </c:pt>
                <c:pt idx="11">
                  <c:v>0.90940839972336107</c:v>
                </c:pt>
                <c:pt idx="12">
                  <c:v>0.99208189060730312</c:v>
                </c:pt>
                <c:pt idx="13">
                  <c:v>1.0747553814912452</c:v>
                </c:pt>
                <c:pt idx="14">
                  <c:v>1.1574288723751869</c:v>
                </c:pt>
                <c:pt idx="15">
                  <c:v>1.2401023632591288</c:v>
                </c:pt>
                <c:pt idx="16">
                  <c:v>1.3227758541430708</c:v>
                </c:pt>
                <c:pt idx="17">
                  <c:v>1.4054493450270129</c:v>
                </c:pt>
                <c:pt idx="18">
                  <c:v>1.4881228359109546</c:v>
                </c:pt>
                <c:pt idx="19">
                  <c:v>1.5707963267948966</c:v>
                </c:pt>
                <c:pt idx="20">
                  <c:v>1.6534698176788385</c:v>
                </c:pt>
                <c:pt idx="21">
                  <c:v>1.7361433085627804</c:v>
                </c:pt>
                <c:pt idx="22">
                  <c:v>1.8188167994467221</c:v>
                </c:pt>
                <c:pt idx="23">
                  <c:v>1.9014902903306641</c:v>
                </c:pt>
                <c:pt idx="24">
                  <c:v>1.9841637812146062</c:v>
                </c:pt>
                <c:pt idx="25">
                  <c:v>2.0668372720985482</c:v>
                </c:pt>
                <c:pt idx="26">
                  <c:v>2.1495107629824903</c:v>
                </c:pt>
                <c:pt idx="27">
                  <c:v>2.232184253866432</c:v>
                </c:pt>
                <c:pt idx="28">
                  <c:v>2.3148577447503738</c:v>
                </c:pt>
                <c:pt idx="29">
                  <c:v>2.3975312356343159</c:v>
                </c:pt>
                <c:pt idx="30">
                  <c:v>2.4802047265182576</c:v>
                </c:pt>
                <c:pt idx="31">
                  <c:v>2.5628782174021993</c:v>
                </c:pt>
                <c:pt idx="32">
                  <c:v>2.6455517082861415</c:v>
                </c:pt>
              </c:numCache>
            </c:numRef>
          </c:xVal>
          <c:yVal>
            <c:numRef>
              <c:f>Sheet1!$E$3:$E$35</c:f>
              <c:numCache>
                <c:formatCode>0</c:formatCode>
                <c:ptCount val="33"/>
                <c:pt idx="0">
                  <c:v>20</c:v>
                </c:pt>
                <c:pt idx="1">
                  <c:v>5900</c:v>
                </c:pt>
                <c:pt idx="2">
                  <c:v>11800</c:v>
                </c:pt>
                <c:pt idx="3">
                  <c:v>17800</c:v>
                </c:pt>
                <c:pt idx="4">
                  <c:v>23600</c:v>
                </c:pt>
                <c:pt idx="5">
                  <c:v>29500</c:v>
                </c:pt>
                <c:pt idx="6">
                  <c:v>35200</c:v>
                </c:pt>
                <c:pt idx="7">
                  <c:v>41200</c:v>
                </c:pt>
                <c:pt idx="8">
                  <c:v>46700</c:v>
                </c:pt>
                <c:pt idx="9">
                  <c:v>52200</c:v>
                </c:pt>
                <c:pt idx="10">
                  <c:v>57700</c:v>
                </c:pt>
                <c:pt idx="11">
                  <c:v>63500</c:v>
                </c:pt>
                <c:pt idx="12">
                  <c:v>69300</c:v>
                </c:pt>
                <c:pt idx="13">
                  <c:v>73800</c:v>
                </c:pt>
                <c:pt idx="14">
                  <c:v>79500</c:v>
                </c:pt>
                <c:pt idx="15">
                  <c:v>84000</c:v>
                </c:pt>
                <c:pt idx="16">
                  <c:v>89200</c:v>
                </c:pt>
                <c:pt idx="17">
                  <c:v>93850</c:v>
                </c:pt>
                <c:pt idx="18">
                  <c:v>98300</c:v>
                </c:pt>
                <c:pt idx="19">
                  <c:v>102400</c:v>
                </c:pt>
                <c:pt idx="20">
                  <c:v>107750</c:v>
                </c:pt>
                <c:pt idx="21">
                  <c:v>111500</c:v>
                </c:pt>
                <c:pt idx="22">
                  <c:v>116100</c:v>
                </c:pt>
                <c:pt idx="23">
                  <c:v>119200</c:v>
                </c:pt>
                <c:pt idx="24">
                  <c:v>123000</c:v>
                </c:pt>
                <c:pt idx="25">
                  <c:v>126100</c:v>
                </c:pt>
                <c:pt idx="26">
                  <c:v>130000</c:v>
                </c:pt>
                <c:pt idx="27">
                  <c:v>132700</c:v>
                </c:pt>
                <c:pt idx="28">
                  <c:v>136000</c:v>
                </c:pt>
                <c:pt idx="29">
                  <c:v>138700</c:v>
                </c:pt>
                <c:pt idx="30">
                  <c:v>141200</c:v>
                </c:pt>
                <c:pt idx="31">
                  <c:v>143500</c:v>
                </c:pt>
                <c:pt idx="32">
                  <c:v>145300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59-4054-8511-268937BE885F}"/>
            </c:ext>
          </c:extLst>
        </c:ser>
        <c:ser>
          <c:idx val="1"/>
          <c:order val="1"/>
          <c:tx>
            <c:v>abs(sink/2))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Sheet1!$D$3:$D$35</c:f>
              <c:numCache>
                <c:formatCode>0.0000000</c:formatCode>
                <c:ptCount val="33"/>
                <c:pt idx="0">
                  <c:v>0</c:v>
                </c:pt>
                <c:pt idx="1">
                  <c:v>8.2673490883941922E-2</c:v>
                </c:pt>
                <c:pt idx="2">
                  <c:v>0.16534698176788384</c:v>
                </c:pt>
                <c:pt idx="3">
                  <c:v>0.24802047265182578</c:v>
                </c:pt>
                <c:pt idx="4">
                  <c:v>0.33069396353576769</c:v>
                </c:pt>
                <c:pt idx="5">
                  <c:v>0.41336745441970962</c:v>
                </c:pt>
                <c:pt idx="6">
                  <c:v>0.49604094530365156</c:v>
                </c:pt>
                <c:pt idx="7">
                  <c:v>0.57871443618759344</c:v>
                </c:pt>
                <c:pt idx="8">
                  <c:v>0.66138792707153538</c:v>
                </c:pt>
                <c:pt idx="9">
                  <c:v>0.74406141795547731</c:v>
                </c:pt>
                <c:pt idx="10">
                  <c:v>0.82673490883941925</c:v>
                </c:pt>
                <c:pt idx="11">
                  <c:v>0.90940839972336107</c:v>
                </c:pt>
                <c:pt idx="12">
                  <c:v>0.99208189060730312</c:v>
                </c:pt>
                <c:pt idx="13">
                  <c:v>1.0747553814912452</c:v>
                </c:pt>
                <c:pt idx="14">
                  <c:v>1.1574288723751869</c:v>
                </c:pt>
                <c:pt idx="15">
                  <c:v>1.2401023632591288</c:v>
                </c:pt>
                <c:pt idx="16">
                  <c:v>1.3227758541430708</c:v>
                </c:pt>
                <c:pt idx="17">
                  <c:v>1.4054493450270129</c:v>
                </c:pt>
                <c:pt idx="18">
                  <c:v>1.4881228359109546</c:v>
                </c:pt>
                <c:pt idx="19">
                  <c:v>1.5707963267948966</c:v>
                </c:pt>
                <c:pt idx="20">
                  <c:v>1.6534698176788385</c:v>
                </c:pt>
                <c:pt idx="21">
                  <c:v>1.7361433085627804</c:v>
                </c:pt>
                <c:pt idx="22">
                  <c:v>1.8188167994467221</c:v>
                </c:pt>
                <c:pt idx="23">
                  <c:v>1.9014902903306641</c:v>
                </c:pt>
                <c:pt idx="24">
                  <c:v>1.9841637812146062</c:v>
                </c:pt>
                <c:pt idx="25">
                  <c:v>2.0668372720985482</c:v>
                </c:pt>
                <c:pt idx="26">
                  <c:v>2.1495107629824903</c:v>
                </c:pt>
                <c:pt idx="27">
                  <c:v>2.232184253866432</c:v>
                </c:pt>
                <c:pt idx="28">
                  <c:v>2.3148577447503738</c:v>
                </c:pt>
                <c:pt idx="29">
                  <c:v>2.3975312356343159</c:v>
                </c:pt>
                <c:pt idx="30">
                  <c:v>2.4802047265182576</c:v>
                </c:pt>
                <c:pt idx="31">
                  <c:v>2.5628782174021993</c:v>
                </c:pt>
                <c:pt idx="32">
                  <c:v>2.6455517082861415</c:v>
                </c:pt>
              </c:numCache>
            </c:numRef>
          </c:xVal>
          <c:yVal>
            <c:numRef>
              <c:f>Sheet1!$N$3:$N$35</c:f>
              <c:numCache>
                <c:formatCode>General</c:formatCode>
                <c:ptCount val="33"/>
                <c:pt idx="0">
                  <c:v>0</c:v>
                </c:pt>
                <c:pt idx="1">
                  <c:v>5912.3496020367184</c:v>
                </c:pt>
                <c:pt idx="2">
                  <c:v>11814.598053955669</c:v>
                </c:pt>
                <c:pt idx="3">
                  <c:v>17696.661463284618</c:v>
                </c:pt>
                <c:pt idx="4">
                  <c:v>23548.490423357998</c:v>
                </c:pt>
                <c:pt idx="5">
                  <c:v>29360.087182559626</c:v>
                </c:pt>
                <c:pt idx="6">
                  <c:v>35121.522725313633</c:v>
                </c:pt>
                <c:pt idx="7">
                  <c:v>40822.953735641</c:v>
                </c:pt>
                <c:pt idx="8">
                  <c:v>46454.63941429984</c:v>
                </c:pt>
                <c:pt idx="9">
                  <c:v>52006.958120777432</c:v>
                </c:pt>
                <c:pt idx="10">
                  <c:v>57470.423811701701</c:v>
                </c:pt>
                <c:pt idx="11">
                  <c:v>62835.702247587171</c:v>
                </c:pt>
                <c:pt idx="12">
                  <c:v>68093.626940226546</c:v>
                </c:pt>
                <c:pt idx="13">
                  <c:v>73235.214813482045</c:v>
                </c:pt>
                <c:pt idx="14">
                  <c:v>78251.681550720255</c:v>
                </c:pt>
                <c:pt idx="15">
                  <c:v>83134.456602669903</c:v>
                </c:pt>
                <c:pt idx="16">
                  <c:v>87875.197830061326</c:v>
                </c:pt>
                <c:pt idx="17">
                  <c:v>92465.805756031565</c:v>
                </c:pt>
                <c:pt idx="18">
                  <c:v>96898.437403944699</c:v>
                </c:pt>
                <c:pt idx="19">
                  <c:v>101165.51969698592</c:v>
                </c:pt>
                <c:pt idx="20">
                  <c:v>105259.7623966362</c:v>
                </c:pt>
                <c:pt idx="21">
                  <c:v>109174.17055792244</c:v>
                </c:pt>
                <c:pt idx="22">
                  <c:v>112902.05648016374</c:v>
                </c:pt>
                <c:pt idx="23">
                  <c:v>116437.05113279574</c:v>
                </c:pt>
                <c:pt idx="24">
                  <c:v>119773.11503675256</c:v>
                </c:pt>
                <c:pt idx="25">
                  <c:v>122904.54858281543</c:v>
                </c:pt>
                <c:pt idx="26">
                  <c:v>125826.00176929946</c:v>
                </c:pt>
                <c:pt idx="27">
                  <c:v>128532.48334244174</c:v>
                </c:pt>
                <c:pt idx="28">
                  <c:v>131019.36932387472</c:v>
                </c:pt>
                <c:pt idx="29">
                  <c:v>133282.41091061567</c:v>
                </c:pt>
                <c:pt idx="30">
                  <c:v>135317.74173407519</c:v>
                </c:pt>
                <c:pt idx="31">
                  <c:v>137121.88446568334</c:v>
                </c:pt>
                <c:pt idx="32">
                  <c:v>138691.75675784692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59-4054-8511-268937BE8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896784"/>
        <c:axId val="559896304"/>
      </c:scatterChart>
      <c:valAx>
        <c:axId val="55989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k (sections^-1)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96304"/>
        <c:crosses val="autoZero"/>
        <c:crossBetween val="midCat"/>
      </c:valAx>
      <c:valAx>
        <c:axId val="55989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96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Phase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Sheet1!$E$4:$E$35</c:f>
              <c:numCache>
                <c:formatCode>0</c:formatCode>
                <c:ptCount val="32"/>
                <c:pt idx="0">
                  <c:v>5900</c:v>
                </c:pt>
                <c:pt idx="1">
                  <c:v>11800</c:v>
                </c:pt>
                <c:pt idx="2">
                  <c:v>17800</c:v>
                </c:pt>
                <c:pt idx="3">
                  <c:v>23600</c:v>
                </c:pt>
                <c:pt idx="4">
                  <c:v>29500</c:v>
                </c:pt>
                <c:pt idx="5">
                  <c:v>35200</c:v>
                </c:pt>
                <c:pt idx="6">
                  <c:v>41200</c:v>
                </c:pt>
                <c:pt idx="7">
                  <c:v>46700</c:v>
                </c:pt>
                <c:pt idx="8">
                  <c:v>52200</c:v>
                </c:pt>
                <c:pt idx="9">
                  <c:v>57700</c:v>
                </c:pt>
                <c:pt idx="10">
                  <c:v>63500</c:v>
                </c:pt>
                <c:pt idx="11">
                  <c:v>69300</c:v>
                </c:pt>
                <c:pt idx="12">
                  <c:v>73800</c:v>
                </c:pt>
                <c:pt idx="13">
                  <c:v>79500</c:v>
                </c:pt>
                <c:pt idx="14">
                  <c:v>84000</c:v>
                </c:pt>
                <c:pt idx="15">
                  <c:v>89200</c:v>
                </c:pt>
                <c:pt idx="16">
                  <c:v>93850</c:v>
                </c:pt>
                <c:pt idx="17">
                  <c:v>98300</c:v>
                </c:pt>
                <c:pt idx="18">
                  <c:v>102400</c:v>
                </c:pt>
                <c:pt idx="19">
                  <c:v>107750</c:v>
                </c:pt>
                <c:pt idx="20">
                  <c:v>111500</c:v>
                </c:pt>
                <c:pt idx="21">
                  <c:v>116100</c:v>
                </c:pt>
                <c:pt idx="22">
                  <c:v>119200</c:v>
                </c:pt>
                <c:pt idx="23">
                  <c:v>123000</c:v>
                </c:pt>
                <c:pt idx="24">
                  <c:v>126100</c:v>
                </c:pt>
                <c:pt idx="25">
                  <c:v>130000</c:v>
                </c:pt>
                <c:pt idx="26">
                  <c:v>132700</c:v>
                </c:pt>
                <c:pt idx="27">
                  <c:v>136000</c:v>
                </c:pt>
                <c:pt idx="28">
                  <c:v>138700</c:v>
                </c:pt>
                <c:pt idx="29">
                  <c:v>141200</c:v>
                </c:pt>
                <c:pt idx="30">
                  <c:v>143500</c:v>
                </c:pt>
                <c:pt idx="31">
                  <c:v>145300</c:v>
                </c:pt>
              </c:numCache>
            </c:numRef>
          </c:xVal>
          <c:yVal>
            <c:numRef>
              <c:f>Sheet1!$L$4:$L$35</c:f>
              <c:numCache>
                <c:formatCode>0.000E+00</c:formatCode>
                <c:ptCount val="32"/>
                <c:pt idx="0">
                  <c:v>448400</c:v>
                </c:pt>
                <c:pt idx="1">
                  <c:v>448400</c:v>
                </c:pt>
                <c:pt idx="2">
                  <c:v>450933.33333333331</c:v>
                </c:pt>
                <c:pt idx="3">
                  <c:v>448400</c:v>
                </c:pt>
                <c:pt idx="4">
                  <c:v>448400</c:v>
                </c:pt>
                <c:pt idx="5">
                  <c:v>445866.66666666669</c:v>
                </c:pt>
                <c:pt idx="6">
                  <c:v>447314.28571428574</c:v>
                </c:pt>
                <c:pt idx="7">
                  <c:v>443650</c:v>
                </c:pt>
                <c:pt idx="8">
                  <c:v>440800</c:v>
                </c:pt>
                <c:pt idx="9">
                  <c:v>438520</c:v>
                </c:pt>
                <c:pt idx="10">
                  <c:v>438727.27272727276</c:v>
                </c:pt>
                <c:pt idx="11">
                  <c:v>438900</c:v>
                </c:pt>
                <c:pt idx="12">
                  <c:v>431446.15384615381</c:v>
                </c:pt>
                <c:pt idx="13">
                  <c:v>431571.42857142858</c:v>
                </c:pt>
                <c:pt idx="14">
                  <c:v>425600</c:v>
                </c:pt>
                <c:pt idx="15">
                  <c:v>423700</c:v>
                </c:pt>
                <c:pt idx="16">
                  <c:v>419564.70588235289</c:v>
                </c:pt>
                <c:pt idx="17">
                  <c:v>415044.4444444445</c:v>
                </c:pt>
                <c:pt idx="18">
                  <c:v>409600</c:v>
                </c:pt>
                <c:pt idx="19">
                  <c:v>409450</c:v>
                </c:pt>
                <c:pt idx="20">
                  <c:v>403523.80952380953</c:v>
                </c:pt>
                <c:pt idx="21">
                  <c:v>401072.72727272729</c:v>
                </c:pt>
                <c:pt idx="22">
                  <c:v>393878.26086956525</c:v>
                </c:pt>
                <c:pt idx="23">
                  <c:v>389500</c:v>
                </c:pt>
                <c:pt idx="24">
                  <c:v>383344</c:v>
                </c:pt>
                <c:pt idx="25">
                  <c:v>379999.99999999994</c:v>
                </c:pt>
                <c:pt idx="26">
                  <c:v>373525.9259259259</c:v>
                </c:pt>
                <c:pt idx="27">
                  <c:v>369142.85714285716</c:v>
                </c:pt>
                <c:pt idx="28">
                  <c:v>363489.6551724138</c:v>
                </c:pt>
                <c:pt idx="29">
                  <c:v>357706.66666666669</c:v>
                </c:pt>
                <c:pt idx="30">
                  <c:v>351806.45161290327</c:v>
                </c:pt>
                <c:pt idx="31">
                  <c:v>345087.5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8E-4266-BAAB-D589700E9E49}"/>
            </c:ext>
          </c:extLst>
        </c:ser>
        <c:ser>
          <c:idx val="1"/>
          <c:order val="1"/>
          <c:tx>
            <c:v>Group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Sheet1!$E$4:$E$35</c:f>
              <c:numCache>
                <c:formatCode>0</c:formatCode>
                <c:ptCount val="32"/>
                <c:pt idx="0">
                  <c:v>5900</c:v>
                </c:pt>
                <c:pt idx="1">
                  <c:v>11800</c:v>
                </c:pt>
                <c:pt idx="2">
                  <c:v>17800</c:v>
                </c:pt>
                <c:pt idx="3">
                  <c:v>23600</c:v>
                </c:pt>
                <c:pt idx="4">
                  <c:v>29500</c:v>
                </c:pt>
                <c:pt idx="5">
                  <c:v>35200</c:v>
                </c:pt>
                <c:pt idx="6">
                  <c:v>41200</c:v>
                </c:pt>
                <c:pt idx="7">
                  <c:v>46700</c:v>
                </c:pt>
                <c:pt idx="8">
                  <c:v>52200</c:v>
                </c:pt>
                <c:pt idx="9">
                  <c:v>57700</c:v>
                </c:pt>
                <c:pt idx="10">
                  <c:v>63500</c:v>
                </c:pt>
                <c:pt idx="11">
                  <c:v>69300</c:v>
                </c:pt>
                <c:pt idx="12">
                  <c:v>73800</c:v>
                </c:pt>
                <c:pt idx="13">
                  <c:v>79500</c:v>
                </c:pt>
                <c:pt idx="14">
                  <c:v>84000</c:v>
                </c:pt>
                <c:pt idx="15">
                  <c:v>89200</c:v>
                </c:pt>
                <c:pt idx="16">
                  <c:v>93850</c:v>
                </c:pt>
                <c:pt idx="17">
                  <c:v>98300</c:v>
                </c:pt>
                <c:pt idx="18">
                  <c:v>102400</c:v>
                </c:pt>
                <c:pt idx="19">
                  <c:v>107750</c:v>
                </c:pt>
                <c:pt idx="20">
                  <c:v>111500</c:v>
                </c:pt>
                <c:pt idx="21">
                  <c:v>116100</c:v>
                </c:pt>
                <c:pt idx="22">
                  <c:v>119200</c:v>
                </c:pt>
                <c:pt idx="23">
                  <c:v>123000</c:v>
                </c:pt>
                <c:pt idx="24">
                  <c:v>126100</c:v>
                </c:pt>
                <c:pt idx="25">
                  <c:v>130000</c:v>
                </c:pt>
                <c:pt idx="26">
                  <c:v>132700</c:v>
                </c:pt>
                <c:pt idx="27">
                  <c:v>136000</c:v>
                </c:pt>
                <c:pt idx="28">
                  <c:v>138700</c:v>
                </c:pt>
                <c:pt idx="29">
                  <c:v>141200</c:v>
                </c:pt>
                <c:pt idx="30">
                  <c:v>143500</c:v>
                </c:pt>
                <c:pt idx="31">
                  <c:v>145300</c:v>
                </c:pt>
              </c:numCache>
            </c:numRef>
          </c:xVal>
          <c:yVal>
            <c:numRef>
              <c:f>Sheet1!$M$4:$M$35</c:f>
              <c:numCache>
                <c:formatCode>0.00E+00</c:formatCode>
                <c:ptCount val="32"/>
                <c:pt idx="0">
                  <c:v>446880</c:v>
                </c:pt>
                <c:pt idx="1">
                  <c:v>448400</c:v>
                </c:pt>
                <c:pt idx="2">
                  <c:v>455999.99999999994</c:v>
                </c:pt>
                <c:pt idx="3">
                  <c:v>440800.00000000006</c:v>
                </c:pt>
                <c:pt idx="4">
                  <c:v>448399.99999999994</c:v>
                </c:pt>
                <c:pt idx="5">
                  <c:v>433199.99999999988</c:v>
                </c:pt>
                <c:pt idx="6">
                  <c:v>456000.00000000023</c:v>
                </c:pt>
                <c:pt idx="7">
                  <c:v>417999.99999999988</c:v>
                </c:pt>
                <c:pt idx="8">
                  <c:v>417999.99999999988</c:v>
                </c:pt>
                <c:pt idx="9">
                  <c:v>417999.99999999988</c:v>
                </c:pt>
                <c:pt idx="10">
                  <c:v>440800.00000000052</c:v>
                </c:pt>
                <c:pt idx="11">
                  <c:v>440799.9999999993</c:v>
                </c:pt>
                <c:pt idx="12">
                  <c:v>341999.99999999953</c:v>
                </c:pt>
                <c:pt idx="13">
                  <c:v>433200.00000000105</c:v>
                </c:pt>
                <c:pt idx="14">
                  <c:v>341999.99999999994</c:v>
                </c:pt>
                <c:pt idx="15">
                  <c:v>395199.99999999994</c:v>
                </c:pt>
                <c:pt idx="16">
                  <c:v>353399.99999999901</c:v>
                </c:pt>
                <c:pt idx="17">
                  <c:v>338200.00000000087</c:v>
                </c:pt>
                <c:pt idx="18">
                  <c:v>311599.99999999994</c:v>
                </c:pt>
                <c:pt idx="19">
                  <c:v>406599.99999999994</c:v>
                </c:pt>
                <c:pt idx="20">
                  <c:v>284999.99999999994</c:v>
                </c:pt>
                <c:pt idx="21">
                  <c:v>349600.00000000087</c:v>
                </c:pt>
                <c:pt idx="22">
                  <c:v>235599.99999999997</c:v>
                </c:pt>
                <c:pt idx="23">
                  <c:v>288799.99999999919</c:v>
                </c:pt>
                <c:pt idx="24">
                  <c:v>235599.99999999997</c:v>
                </c:pt>
                <c:pt idx="25">
                  <c:v>296399.99999999919</c:v>
                </c:pt>
                <c:pt idx="26">
                  <c:v>205200.00000000055</c:v>
                </c:pt>
                <c:pt idx="27">
                  <c:v>250800.00000000067</c:v>
                </c:pt>
                <c:pt idx="28">
                  <c:v>205199.99999999945</c:v>
                </c:pt>
                <c:pt idx="29">
                  <c:v>190000.00000000049</c:v>
                </c:pt>
                <c:pt idx="30">
                  <c:v>174800.00000000044</c:v>
                </c:pt>
                <c:pt idx="31">
                  <c:v>136799.99999999962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8E-4266-BAAB-D589700E9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678336"/>
        <c:axId val="561675936"/>
      </c:scatterChart>
      <c:valAx>
        <c:axId val="56167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675936"/>
        <c:crosses val="autoZero"/>
        <c:crossBetween val="midCat"/>
      </c:valAx>
      <c:valAx>
        <c:axId val="56167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Speed (sections/s)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678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109537</xdr:colOff>
      <xdr:row>1</xdr:row>
      <xdr:rowOff>80962</xdr:rowOff>
    </xdr:from>
    <xdr:to>
      <xdr:col>21</xdr:col>
      <xdr:colOff>252412</xdr:colOff>
      <xdr:row>15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B7D7C9-B6E0-723A-3BDD-9B64D1ED2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119062</xdr:colOff>
      <xdr:row>16</xdr:row>
      <xdr:rowOff>33337</xdr:rowOff>
    </xdr:from>
    <xdr:to>
      <xdr:col>21</xdr:col>
      <xdr:colOff>261937</xdr:colOff>
      <xdr:row>30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20F247-E580-9C4C-DF56-8C2BB08AE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128587</xdr:colOff>
      <xdr:row>30</xdr:row>
      <xdr:rowOff>166687</xdr:rowOff>
    </xdr:from>
    <xdr:to>
      <xdr:col>21</xdr:col>
      <xdr:colOff>271462</xdr:colOff>
      <xdr:row>45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0DAFC1-E20A-43D9-4727-37F0E7FA9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6CA6-FD9C-49C3-B77C-956FA8CD82CE}">
  <dimension ref="A1:O48"/>
  <sheetViews>
    <sheetView tabSelected="1" workbookViewId="0">
      <selection activeCell="A3" sqref="A3"/>
    </sheetView>
  </sheetViews>
  <sheetFormatPr baseColWidth="10" defaultColWidth="8.88671875" defaultRowHeight="14.4" x14ac:dyDescent="0.3"/>
  <cols>
    <col min="1" max="1" width="9.88671875" style="1" customWidth="1"/>
    <col min="3" max="3" width="13.33203125" customWidth="1"/>
    <col min="4" max="4" width="16.88671875" customWidth="1"/>
    <col min="5" max="5" width="11.109375" style="6" customWidth="1"/>
    <col min="6" max="6" width="11.33203125" customWidth="1"/>
    <col min="7" max="8" width="10.33203125" customWidth="1"/>
    <col min="12" max="13" width="19.44140625" customWidth="1"/>
    <col min="14" max="14" width="14.33203125" customWidth="1"/>
    <col min="15" max="15" width="10.44140625" customWidth="1"/>
    <col min="16" max="16" width="10.33203125" customWidth="1"/>
  </cols>
  <sheetData>
    <row r="1" spans="1:15" x14ac:dyDescent="0.3">
      <c r="A1" s="1" t="s">
        <v>6</v>
      </c>
      <c r="B1">
        <v>38</v>
      </c>
      <c r="C1" t="s">
        <v>9</v>
      </c>
      <c r="D1">
        <v>5</v>
      </c>
      <c r="E1" s="6" t="s">
        <v>15</v>
      </c>
      <c r="F1">
        <v>143069.65</v>
      </c>
    </row>
    <row r="2" spans="1:15" x14ac:dyDescent="0.3">
      <c r="A2" s="2" t="s">
        <v>0</v>
      </c>
      <c r="B2" t="s">
        <v>1</v>
      </c>
      <c r="C2" t="s">
        <v>8</v>
      </c>
      <c r="D2" t="s">
        <v>7</v>
      </c>
      <c r="E2" s="6" t="s">
        <v>4</v>
      </c>
      <c r="F2" t="s">
        <v>10</v>
      </c>
      <c r="G2" t="s">
        <v>5</v>
      </c>
      <c r="H2" t="s">
        <v>11</v>
      </c>
      <c r="I2" t="s">
        <v>5</v>
      </c>
      <c r="J2" t="s">
        <v>3</v>
      </c>
      <c r="K2" t="s">
        <v>2</v>
      </c>
      <c r="L2" t="s">
        <v>12</v>
      </c>
      <c r="M2" t="s">
        <v>13</v>
      </c>
      <c r="N2" t="s">
        <v>14</v>
      </c>
    </row>
    <row r="3" spans="1:15" x14ac:dyDescent="0.3">
      <c r="A3" s="2">
        <v>0</v>
      </c>
      <c r="B3">
        <v>1</v>
      </c>
      <c r="C3">
        <v>0</v>
      </c>
      <c r="D3" s="5">
        <f t="shared" ref="D3:D18" si="0">PI()*A3/$B$1</f>
        <v>0</v>
      </c>
      <c r="E3" s="6">
        <v>20</v>
      </c>
      <c r="F3" s="4">
        <v>2.1320000000000001</v>
      </c>
      <c r="G3">
        <v>1E-3</v>
      </c>
      <c r="H3" s="3">
        <v>1.89</v>
      </c>
      <c r="I3">
        <v>0.01</v>
      </c>
      <c r="J3" s="4">
        <f>H3/F3</f>
        <v>0.88649155722326445</v>
      </c>
      <c r="K3" s="4">
        <f>SQRT((I3/F3)^2+(G3*H3/F3^2)^2)</f>
        <v>4.7088257352182481E-3</v>
      </c>
      <c r="L3" t="e">
        <f>E3*2*PI()/D3</f>
        <v>#DIV/0!</v>
      </c>
      <c r="N3">
        <f>$F$1*SIN(D3/2)</f>
        <v>0</v>
      </c>
      <c r="O3">
        <f>$F$1*SIN(D3/2)</f>
        <v>0</v>
      </c>
    </row>
    <row r="4" spans="1:15" x14ac:dyDescent="0.3">
      <c r="A4" s="2">
        <v>1</v>
      </c>
      <c r="B4">
        <v>0</v>
      </c>
      <c r="C4">
        <v>1</v>
      </c>
      <c r="D4" s="5">
        <f t="shared" si="0"/>
        <v>8.2673490883941922E-2</v>
      </c>
      <c r="E4" s="6">
        <v>5900</v>
      </c>
      <c r="F4" s="3">
        <v>2.5499999999999998</v>
      </c>
      <c r="G4">
        <v>0.01</v>
      </c>
      <c r="H4" s="3">
        <v>2.34</v>
      </c>
      <c r="I4">
        <v>0.01</v>
      </c>
      <c r="J4" s="4">
        <f t="shared" ref="J4:J35" si="1">H4/F4</f>
        <v>0.91764705882352937</v>
      </c>
      <c r="K4" s="4">
        <f t="shared" ref="K4:K23" si="2">SQRT((I4/F4)^2+(G4*H4/F4^2)^2)</f>
        <v>5.3224747080253716E-3</v>
      </c>
      <c r="L4" s="8">
        <f t="shared" ref="L4:L35" si="3">E4*2*PI()/D4</f>
        <v>448400</v>
      </c>
      <c r="M4" s="7">
        <f t="shared" ref="M4:M35" si="4">(E4-E3)*2*PI()/(D4-D3)</f>
        <v>446880</v>
      </c>
      <c r="N4">
        <f t="shared" ref="N4:N35" si="5">$F$1*SIN(D4/2)</f>
        <v>5912.3496020367184</v>
      </c>
    </row>
    <row r="5" spans="1:15" x14ac:dyDescent="0.3">
      <c r="A5" s="2">
        <v>2</v>
      </c>
      <c r="B5">
        <v>1</v>
      </c>
      <c r="C5">
        <v>2</v>
      </c>
      <c r="D5" s="5">
        <f t="shared" si="0"/>
        <v>0.16534698176788384</v>
      </c>
      <c r="E5" s="6">
        <v>11800</v>
      </c>
      <c r="F5" s="3">
        <v>2.4</v>
      </c>
      <c r="G5">
        <v>0.01</v>
      </c>
      <c r="H5" s="3">
        <v>2.2799999999999998</v>
      </c>
      <c r="I5">
        <v>0.01</v>
      </c>
      <c r="J5" s="4">
        <f t="shared" si="1"/>
        <v>0.95</v>
      </c>
      <c r="K5" s="4">
        <f t="shared" si="2"/>
        <v>5.7471309267223833E-3</v>
      </c>
      <c r="L5" s="8">
        <f t="shared" si="3"/>
        <v>448400</v>
      </c>
      <c r="M5" s="7">
        <f t="shared" si="4"/>
        <v>448400</v>
      </c>
      <c r="N5">
        <f t="shared" si="5"/>
        <v>11814.598053955669</v>
      </c>
    </row>
    <row r="6" spans="1:15" x14ac:dyDescent="0.3">
      <c r="A6" s="2">
        <v>3</v>
      </c>
      <c r="B6">
        <v>0</v>
      </c>
      <c r="C6">
        <v>3</v>
      </c>
      <c r="D6" s="5">
        <f t="shared" si="0"/>
        <v>0.24802047265182578</v>
      </c>
      <c r="E6" s="6">
        <v>17800</v>
      </c>
      <c r="F6" s="3">
        <v>2.4500000000000002</v>
      </c>
      <c r="G6">
        <v>0.01</v>
      </c>
      <c r="H6" s="3">
        <v>2.2200000000000002</v>
      </c>
      <c r="I6">
        <v>0.01</v>
      </c>
      <c r="J6" s="4">
        <f t="shared" si="1"/>
        <v>0.90612244897959182</v>
      </c>
      <c r="K6" s="4">
        <f t="shared" si="2"/>
        <v>5.5080235935815883E-3</v>
      </c>
      <c r="L6" s="8">
        <f t="shared" si="3"/>
        <v>450933.33333333331</v>
      </c>
      <c r="M6" s="7">
        <f t="shared" si="4"/>
        <v>455999.99999999994</v>
      </c>
      <c r="N6">
        <f t="shared" si="5"/>
        <v>17696.661463284618</v>
      </c>
    </row>
    <row r="7" spans="1:15" x14ac:dyDescent="0.3">
      <c r="A7" s="2">
        <v>4</v>
      </c>
      <c r="B7">
        <v>1</v>
      </c>
      <c r="C7">
        <v>4</v>
      </c>
      <c r="D7" s="5">
        <f t="shared" si="0"/>
        <v>0.33069396353576769</v>
      </c>
      <c r="E7" s="6">
        <v>23600</v>
      </c>
      <c r="F7" s="3">
        <v>2.66</v>
      </c>
      <c r="G7">
        <v>0.01</v>
      </c>
      <c r="H7" s="3">
        <v>2.17</v>
      </c>
      <c r="I7">
        <v>0.01</v>
      </c>
      <c r="J7" s="4">
        <f t="shared" si="1"/>
        <v>0.81578947368421051</v>
      </c>
      <c r="K7" s="4">
        <f t="shared" si="2"/>
        <v>4.8516817709692234E-3</v>
      </c>
      <c r="L7" s="8">
        <f t="shared" si="3"/>
        <v>448400</v>
      </c>
      <c r="M7" s="7">
        <f t="shared" si="4"/>
        <v>440800.00000000006</v>
      </c>
      <c r="N7">
        <f t="shared" si="5"/>
        <v>23548.490423357998</v>
      </c>
    </row>
    <row r="8" spans="1:15" x14ac:dyDescent="0.3">
      <c r="A8" s="2">
        <v>5</v>
      </c>
      <c r="B8">
        <v>0</v>
      </c>
      <c r="C8">
        <v>5</v>
      </c>
      <c r="D8" s="5">
        <f t="shared" si="0"/>
        <v>0.41336745441970962</v>
      </c>
      <c r="E8" s="6">
        <v>29500</v>
      </c>
      <c r="F8" s="3">
        <v>2.46</v>
      </c>
      <c r="G8">
        <v>0.01</v>
      </c>
      <c r="H8" s="3">
        <v>2.1</v>
      </c>
      <c r="I8">
        <v>0.01</v>
      </c>
      <c r="J8" s="4">
        <f t="shared" si="1"/>
        <v>0.85365853658536595</v>
      </c>
      <c r="K8" s="4">
        <f t="shared" si="2"/>
        <v>5.344767785819376E-3</v>
      </c>
      <c r="L8" s="8">
        <f t="shared" si="3"/>
        <v>448400</v>
      </c>
      <c r="M8" s="7">
        <f t="shared" si="4"/>
        <v>448399.99999999994</v>
      </c>
      <c r="N8">
        <f t="shared" si="5"/>
        <v>29360.087182559626</v>
      </c>
    </row>
    <row r="9" spans="1:15" x14ac:dyDescent="0.3">
      <c r="A9" s="2">
        <v>6</v>
      </c>
      <c r="B9">
        <v>1</v>
      </c>
      <c r="C9">
        <v>6</v>
      </c>
      <c r="D9" s="5">
        <f t="shared" si="0"/>
        <v>0.49604094530365156</v>
      </c>
      <c r="E9" s="6">
        <v>35200</v>
      </c>
      <c r="F9" s="3">
        <v>2.52</v>
      </c>
      <c r="G9">
        <v>0.01</v>
      </c>
      <c r="H9" s="3">
        <v>2</v>
      </c>
      <c r="I9">
        <v>0.01</v>
      </c>
      <c r="J9" s="4">
        <f t="shared" si="1"/>
        <v>0.79365079365079361</v>
      </c>
      <c r="K9" s="4">
        <f t="shared" si="2"/>
        <v>5.0661434788606434E-3</v>
      </c>
      <c r="L9" s="8">
        <f t="shared" si="3"/>
        <v>445866.66666666669</v>
      </c>
      <c r="M9" s="7">
        <f t="shared" si="4"/>
        <v>433199.99999999988</v>
      </c>
      <c r="N9">
        <f t="shared" si="5"/>
        <v>35121.522725313633</v>
      </c>
    </row>
    <row r="10" spans="1:15" x14ac:dyDescent="0.3">
      <c r="A10" s="2">
        <v>7</v>
      </c>
      <c r="B10">
        <v>0</v>
      </c>
      <c r="C10">
        <v>7</v>
      </c>
      <c r="D10" s="5">
        <f t="shared" si="0"/>
        <v>0.57871443618759344</v>
      </c>
      <c r="E10" s="6">
        <v>41200</v>
      </c>
      <c r="F10" s="3">
        <v>2.5</v>
      </c>
      <c r="G10">
        <v>0.01</v>
      </c>
      <c r="H10" s="3">
        <v>1.95</v>
      </c>
      <c r="I10">
        <v>0.01</v>
      </c>
      <c r="J10" s="4">
        <f t="shared" si="1"/>
        <v>0.78</v>
      </c>
      <c r="K10" s="4">
        <f t="shared" si="2"/>
        <v>5.0729084359960605E-3</v>
      </c>
      <c r="L10" s="8">
        <f t="shared" si="3"/>
        <v>447314.28571428574</v>
      </c>
      <c r="M10" s="7">
        <f t="shared" si="4"/>
        <v>456000.00000000023</v>
      </c>
      <c r="N10">
        <f t="shared" si="5"/>
        <v>40822.953735641</v>
      </c>
    </row>
    <row r="11" spans="1:15" x14ac:dyDescent="0.3">
      <c r="A11" s="2">
        <v>8</v>
      </c>
      <c r="B11">
        <v>1</v>
      </c>
      <c r="C11">
        <v>8</v>
      </c>
      <c r="D11" s="5">
        <f t="shared" si="0"/>
        <v>0.66138792707153538</v>
      </c>
      <c r="E11" s="6">
        <v>46700</v>
      </c>
      <c r="F11" s="3">
        <v>2.29</v>
      </c>
      <c r="G11">
        <v>0.01</v>
      </c>
      <c r="H11" s="3">
        <v>1.89</v>
      </c>
      <c r="I11">
        <v>0.01</v>
      </c>
      <c r="J11" s="4">
        <f t="shared" si="1"/>
        <v>0.82532751091703049</v>
      </c>
      <c r="K11" s="4">
        <f t="shared" si="2"/>
        <v>5.6619985293600269E-3</v>
      </c>
      <c r="L11" s="8">
        <f t="shared" si="3"/>
        <v>443650</v>
      </c>
      <c r="M11" s="7">
        <f t="shared" si="4"/>
        <v>417999.99999999988</v>
      </c>
      <c r="N11">
        <f t="shared" si="5"/>
        <v>46454.63941429984</v>
      </c>
    </row>
    <row r="12" spans="1:15" x14ac:dyDescent="0.3">
      <c r="A12" s="2">
        <v>9</v>
      </c>
      <c r="B12">
        <v>0</v>
      </c>
      <c r="C12">
        <v>9</v>
      </c>
      <c r="D12" s="5">
        <f t="shared" si="0"/>
        <v>0.74406141795547731</v>
      </c>
      <c r="E12" s="6">
        <v>52200</v>
      </c>
      <c r="F12" s="3">
        <v>2.5299999999999998</v>
      </c>
      <c r="G12">
        <v>0.01</v>
      </c>
      <c r="H12" s="3">
        <v>1.83</v>
      </c>
      <c r="I12">
        <v>0.01</v>
      </c>
      <c r="J12" s="4">
        <f t="shared" si="1"/>
        <v>0.72332015810276684</v>
      </c>
      <c r="K12" s="4">
        <f t="shared" si="2"/>
        <v>4.8781686534771721E-3</v>
      </c>
      <c r="L12" s="8">
        <f t="shared" si="3"/>
        <v>440800</v>
      </c>
      <c r="M12" s="7">
        <f t="shared" si="4"/>
        <v>417999.99999999988</v>
      </c>
      <c r="N12">
        <f t="shared" si="5"/>
        <v>52006.958120777432</v>
      </c>
    </row>
    <row r="13" spans="1:15" x14ac:dyDescent="0.3">
      <c r="A13" s="2">
        <v>10</v>
      </c>
      <c r="B13">
        <v>1</v>
      </c>
      <c r="C13">
        <v>10</v>
      </c>
      <c r="D13" s="5">
        <f t="shared" si="0"/>
        <v>0.82673490883941925</v>
      </c>
      <c r="E13" s="6">
        <v>57700</v>
      </c>
      <c r="F13" s="3">
        <v>2.6</v>
      </c>
      <c r="G13">
        <v>0.01</v>
      </c>
      <c r="H13" s="3">
        <v>1.76</v>
      </c>
      <c r="I13">
        <v>0.01</v>
      </c>
      <c r="J13" s="4">
        <f t="shared" si="1"/>
        <v>0.67692307692307685</v>
      </c>
      <c r="K13" s="4">
        <f t="shared" si="2"/>
        <v>4.6444992788616342E-3</v>
      </c>
      <c r="L13" s="8">
        <f t="shared" si="3"/>
        <v>438520</v>
      </c>
      <c r="M13" s="7">
        <f t="shared" si="4"/>
        <v>417999.99999999988</v>
      </c>
      <c r="N13">
        <f t="shared" si="5"/>
        <v>57470.423811701701</v>
      </c>
    </row>
    <row r="14" spans="1:15" x14ac:dyDescent="0.3">
      <c r="A14" s="2">
        <v>11</v>
      </c>
      <c r="B14">
        <v>0</v>
      </c>
      <c r="C14">
        <v>11</v>
      </c>
      <c r="D14" s="5">
        <f t="shared" si="0"/>
        <v>0.90940839972336107</v>
      </c>
      <c r="E14" s="6">
        <v>63500</v>
      </c>
      <c r="F14" s="3">
        <v>2.98</v>
      </c>
      <c r="G14">
        <v>0.01</v>
      </c>
      <c r="H14" s="3">
        <v>1.67</v>
      </c>
      <c r="I14">
        <v>0.01</v>
      </c>
      <c r="J14" s="4">
        <f t="shared" si="1"/>
        <v>0.56040268456375841</v>
      </c>
      <c r="K14" s="4">
        <f t="shared" si="2"/>
        <v>3.846713790030877E-3</v>
      </c>
      <c r="L14" s="8">
        <f t="shared" si="3"/>
        <v>438727.27272727276</v>
      </c>
      <c r="M14" s="7">
        <f t="shared" si="4"/>
        <v>440800.00000000052</v>
      </c>
      <c r="N14">
        <f t="shared" si="5"/>
        <v>62835.702247587171</v>
      </c>
    </row>
    <row r="15" spans="1:15" x14ac:dyDescent="0.3">
      <c r="A15" s="2">
        <v>12</v>
      </c>
      <c r="B15">
        <v>1</v>
      </c>
      <c r="C15">
        <v>12</v>
      </c>
      <c r="D15" s="5">
        <f t="shared" si="0"/>
        <v>0.99208189060730312</v>
      </c>
      <c r="E15" s="6">
        <v>69300</v>
      </c>
      <c r="F15" s="3">
        <v>2.2799999999999998</v>
      </c>
      <c r="G15">
        <v>0.01</v>
      </c>
      <c r="H15" s="3">
        <v>1.47</v>
      </c>
      <c r="I15">
        <v>0.01</v>
      </c>
      <c r="J15" s="4">
        <f t="shared" si="1"/>
        <v>0.64473684210526316</v>
      </c>
      <c r="K15" s="4">
        <f t="shared" si="2"/>
        <v>5.2185345076769625E-3</v>
      </c>
      <c r="L15" s="8">
        <f t="shared" si="3"/>
        <v>438900</v>
      </c>
      <c r="M15" s="7">
        <f t="shared" si="4"/>
        <v>440799.9999999993</v>
      </c>
      <c r="N15">
        <f t="shared" si="5"/>
        <v>68093.626940226546</v>
      </c>
    </row>
    <row r="16" spans="1:15" x14ac:dyDescent="0.3">
      <c r="A16" s="2">
        <v>13</v>
      </c>
      <c r="B16">
        <v>0</v>
      </c>
      <c r="C16">
        <v>13</v>
      </c>
      <c r="D16" s="5">
        <f t="shared" si="0"/>
        <v>1.0747553814912452</v>
      </c>
      <c r="E16" s="6">
        <v>73800</v>
      </c>
      <c r="F16" s="3">
        <v>2.91</v>
      </c>
      <c r="G16">
        <v>0.01</v>
      </c>
      <c r="H16" s="3">
        <v>1.43</v>
      </c>
      <c r="I16">
        <v>0.01</v>
      </c>
      <c r="J16" s="4">
        <f t="shared" si="1"/>
        <v>0.49140893470790376</v>
      </c>
      <c r="K16" s="4">
        <f t="shared" si="2"/>
        <v>3.8289293610729793E-3</v>
      </c>
      <c r="L16" s="8">
        <f t="shared" si="3"/>
        <v>431446.15384615381</v>
      </c>
      <c r="M16" s="7">
        <f t="shared" si="4"/>
        <v>341999.99999999953</v>
      </c>
      <c r="N16">
        <f t="shared" si="5"/>
        <v>73235.214813482045</v>
      </c>
    </row>
    <row r="17" spans="1:14" x14ac:dyDescent="0.3">
      <c r="A17" s="2">
        <v>14</v>
      </c>
      <c r="B17">
        <v>1</v>
      </c>
      <c r="C17">
        <v>14</v>
      </c>
      <c r="D17" s="5">
        <f t="shared" si="0"/>
        <v>1.1574288723751869</v>
      </c>
      <c r="E17" s="6">
        <v>79500</v>
      </c>
      <c r="F17" s="3">
        <v>2.7</v>
      </c>
      <c r="G17">
        <v>0.01</v>
      </c>
      <c r="H17" s="3">
        <v>1.49</v>
      </c>
      <c r="I17">
        <v>0.01</v>
      </c>
      <c r="J17" s="4">
        <f t="shared" si="1"/>
        <v>0.55185185185185182</v>
      </c>
      <c r="K17" s="4">
        <f t="shared" si="2"/>
        <v>4.2302400584226484E-3</v>
      </c>
      <c r="L17" s="8">
        <f t="shared" si="3"/>
        <v>431571.42857142858</v>
      </c>
      <c r="M17" s="7">
        <f t="shared" si="4"/>
        <v>433200.00000000105</v>
      </c>
      <c r="N17">
        <f t="shared" si="5"/>
        <v>78251.681550720255</v>
      </c>
    </row>
    <row r="18" spans="1:14" x14ac:dyDescent="0.3">
      <c r="A18" s="2">
        <v>15</v>
      </c>
      <c r="B18">
        <v>0</v>
      </c>
      <c r="C18">
        <v>15</v>
      </c>
      <c r="D18" s="5">
        <f t="shared" si="0"/>
        <v>1.2401023632591288</v>
      </c>
      <c r="E18" s="6">
        <v>84000</v>
      </c>
      <c r="F18" s="3">
        <v>2.65</v>
      </c>
      <c r="G18">
        <v>0.01</v>
      </c>
      <c r="H18" s="3">
        <v>1.4</v>
      </c>
      <c r="I18">
        <v>0.01</v>
      </c>
      <c r="J18" s="4">
        <f t="shared" si="1"/>
        <v>0.52830188679245282</v>
      </c>
      <c r="K18" s="4">
        <f t="shared" si="2"/>
        <v>4.2678275744095998E-3</v>
      </c>
      <c r="L18" s="8">
        <f t="shared" si="3"/>
        <v>425600</v>
      </c>
      <c r="M18" s="7">
        <f t="shared" si="4"/>
        <v>341999.99999999994</v>
      </c>
      <c r="N18">
        <f t="shared" si="5"/>
        <v>83134.456602669903</v>
      </c>
    </row>
    <row r="19" spans="1:14" x14ac:dyDescent="0.3">
      <c r="A19" s="2">
        <v>16</v>
      </c>
      <c r="B19">
        <v>1</v>
      </c>
      <c r="C19">
        <v>16</v>
      </c>
      <c r="D19" s="5">
        <f t="shared" ref="D19:D35" si="6">PI()*A19/$B$1</f>
        <v>1.3227758541430708</v>
      </c>
      <c r="E19" s="6">
        <v>89200</v>
      </c>
      <c r="F19" s="3">
        <v>3.22</v>
      </c>
      <c r="G19">
        <v>0.01</v>
      </c>
      <c r="H19" s="3">
        <v>1.27</v>
      </c>
      <c r="I19">
        <v>0.01</v>
      </c>
      <c r="J19" s="4">
        <f t="shared" si="1"/>
        <v>0.39440993788819873</v>
      </c>
      <c r="K19" s="4">
        <f t="shared" si="2"/>
        <v>3.3384142686238277E-3</v>
      </c>
      <c r="L19" s="8">
        <f t="shared" si="3"/>
        <v>423700</v>
      </c>
      <c r="M19" s="7">
        <f t="shared" si="4"/>
        <v>395199.99999999994</v>
      </c>
      <c r="N19">
        <f t="shared" si="5"/>
        <v>87875.197830061326</v>
      </c>
    </row>
    <row r="20" spans="1:14" x14ac:dyDescent="0.3">
      <c r="A20" s="2">
        <v>17</v>
      </c>
      <c r="B20">
        <v>0</v>
      </c>
      <c r="C20">
        <v>17</v>
      </c>
      <c r="D20" s="5">
        <f t="shared" si="6"/>
        <v>1.4054493450270129</v>
      </c>
      <c r="E20" s="6">
        <v>93850</v>
      </c>
      <c r="F20" s="3">
        <v>2.0099999999999998</v>
      </c>
      <c r="G20">
        <v>0.01</v>
      </c>
      <c r="H20" s="3">
        <v>1.2</v>
      </c>
      <c r="I20">
        <v>0.01</v>
      </c>
      <c r="J20" s="4">
        <f t="shared" si="1"/>
        <v>0.59701492537313439</v>
      </c>
      <c r="K20" s="4">
        <f t="shared" si="2"/>
        <v>5.7943153411745473E-3</v>
      </c>
      <c r="L20" s="8">
        <f t="shared" si="3"/>
        <v>419564.70588235289</v>
      </c>
      <c r="M20" s="7">
        <f t="shared" si="4"/>
        <v>353399.99999999901</v>
      </c>
      <c r="N20">
        <f t="shared" si="5"/>
        <v>92465.805756031565</v>
      </c>
    </row>
    <row r="21" spans="1:14" x14ac:dyDescent="0.3">
      <c r="A21" s="2">
        <v>18</v>
      </c>
      <c r="B21">
        <v>1</v>
      </c>
      <c r="C21">
        <v>18</v>
      </c>
      <c r="D21" s="5">
        <f t="shared" si="6"/>
        <v>1.4881228359109546</v>
      </c>
      <c r="E21" s="6">
        <v>98300</v>
      </c>
      <c r="F21" s="3">
        <v>3.15</v>
      </c>
      <c r="G21">
        <v>0.01</v>
      </c>
      <c r="H21" s="3">
        <v>1.1100000000000001</v>
      </c>
      <c r="I21">
        <v>0.01</v>
      </c>
      <c r="J21" s="4">
        <f t="shared" si="1"/>
        <v>0.35238095238095241</v>
      </c>
      <c r="K21" s="4">
        <f t="shared" si="2"/>
        <v>3.3659363023897373E-3</v>
      </c>
      <c r="L21" s="8">
        <f t="shared" si="3"/>
        <v>415044.4444444445</v>
      </c>
      <c r="M21" s="7">
        <f t="shared" si="4"/>
        <v>338200.00000000087</v>
      </c>
      <c r="N21">
        <f t="shared" si="5"/>
        <v>96898.437403944699</v>
      </c>
    </row>
    <row r="22" spans="1:14" x14ac:dyDescent="0.3">
      <c r="A22" s="2">
        <v>19</v>
      </c>
      <c r="B22">
        <v>0</v>
      </c>
      <c r="C22">
        <v>19</v>
      </c>
      <c r="D22" s="5">
        <f t="shared" si="6"/>
        <v>1.5707963267948966</v>
      </c>
      <c r="E22" s="6">
        <v>102400</v>
      </c>
      <c r="F22" s="3">
        <v>2.68</v>
      </c>
      <c r="G22">
        <v>0.01</v>
      </c>
      <c r="H22" s="3">
        <v>0.87</v>
      </c>
      <c r="I22">
        <v>0.01</v>
      </c>
      <c r="J22" s="4">
        <f t="shared" si="1"/>
        <v>0.32462686567164178</v>
      </c>
      <c r="K22" s="4">
        <f t="shared" si="2"/>
        <v>3.9230289981498478E-3</v>
      </c>
      <c r="L22" s="8">
        <f t="shared" si="3"/>
        <v>409600</v>
      </c>
      <c r="M22" s="7">
        <f t="shared" si="4"/>
        <v>311599.99999999994</v>
      </c>
      <c r="N22">
        <f t="shared" si="5"/>
        <v>101165.51969698592</v>
      </c>
    </row>
    <row r="23" spans="1:14" x14ac:dyDescent="0.3">
      <c r="A23" s="2">
        <v>20</v>
      </c>
      <c r="B23">
        <v>1</v>
      </c>
      <c r="C23">
        <v>20</v>
      </c>
      <c r="D23" s="5">
        <f t="shared" si="6"/>
        <v>1.6534698176788385</v>
      </c>
      <c r="E23" s="6">
        <v>107750</v>
      </c>
      <c r="F23" s="3">
        <v>3.61</v>
      </c>
      <c r="G23">
        <v>0.01</v>
      </c>
      <c r="H23" s="3">
        <v>0.97</v>
      </c>
      <c r="I23">
        <v>0.01</v>
      </c>
      <c r="J23" s="4">
        <f t="shared" si="1"/>
        <v>0.26869806094182824</v>
      </c>
      <c r="K23" s="4">
        <f t="shared" si="2"/>
        <v>2.8683386551241236E-3</v>
      </c>
      <c r="L23" s="8">
        <f>E23*2*PI()/D23</f>
        <v>409450</v>
      </c>
      <c r="M23" s="7">
        <f t="shared" si="4"/>
        <v>406599.99999999994</v>
      </c>
      <c r="N23">
        <f t="shared" si="5"/>
        <v>105259.7623966362</v>
      </c>
    </row>
    <row r="24" spans="1:14" x14ac:dyDescent="0.3">
      <c r="A24" s="2">
        <v>21</v>
      </c>
      <c r="B24">
        <v>0</v>
      </c>
      <c r="C24">
        <v>21</v>
      </c>
      <c r="D24" s="5">
        <f t="shared" si="6"/>
        <v>1.7361433085627804</v>
      </c>
      <c r="E24" s="6">
        <v>111500</v>
      </c>
      <c r="F24" s="3">
        <v>3.19</v>
      </c>
      <c r="G24">
        <v>0.01</v>
      </c>
      <c r="H24" s="3">
        <v>0.91</v>
      </c>
      <c r="I24">
        <v>0.01</v>
      </c>
      <c r="J24" s="4">
        <f t="shared" si="1"/>
        <v>0.28526645768025077</v>
      </c>
      <c r="K24" s="4">
        <f t="shared" ref="K24:K35" si="7">I24/F24+G24*H24/F24^2</f>
        <v>4.0290484566779024E-3</v>
      </c>
      <c r="L24" s="8">
        <f t="shared" si="3"/>
        <v>403523.80952380953</v>
      </c>
      <c r="M24" s="7">
        <f t="shared" si="4"/>
        <v>284999.99999999994</v>
      </c>
      <c r="N24">
        <f t="shared" si="5"/>
        <v>109174.17055792244</v>
      </c>
    </row>
    <row r="25" spans="1:14" x14ac:dyDescent="0.3">
      <c r="A25" s="2">
        <v>22</v>
      </c>
      <c r="B25">
        <v>1</v>
      </c>
      <c r="C25">
        <v>22</v>
      </c>
      <c r="D25" s="5">
        <f t="shared" si="6"/>
        <v>1.8188167994467221</v>
      </c>
      <c r="E25" s="6">
        <v>116100</v>
      </c>
      <c r="F25" s="3">
        <v>2.72</v>
      </c>
      <c r="G25">
        <v>0.01</v>
      </c>
      <c r="H25" s="3">
        <v>0.82</v>
      </c>
      <c r="I25">
        <v>0.01</v>
      </c>
      <c r="J25" s="4">
        <f t="shared" si="1"/>
        <v>0.3014705882352941</v>
      </c>
      <c r="K25" s="4">
        <f t="shared" si="7"/>
        <v>4.7848183391003456E-3</v>
      </c>
      <c r="L25" s="8">
        <f t="shared" si="3"/>
        <v>401072.72727272729</v>
      </c>
      <c r="M25" s="7">
        <f t="shared" si="4"/>
        <v>349600.00000000087</v>
      </c>
      <c r="N25">
        <f t="shared" si="5"/>
        <v>112902.05648016374</v>
      </c>
    </row>
    <row r="26" spans="1:14" x14ac:dyDescent="0.3">
      <c r="A26" s="2">
        <v>23</v>
      </c>
      <c r="B26">
        <v>0</v>
      </c>
      <c r="C26">
        <v>23</v>
      </c>
      <c r="D26" s="5">
        <f t="shared" si="6"/>
        <v>1.9014902903306641</v>
      </c>
      <c r="E26" s="6">
        <v>119200</v>
      </c>
      <c r="F26" s="3">
        <v>2.85</v>
      </c>
      <c r="G26">
        <v>0.01</v>
      </c>
      <c r="H26" s="3">
        <v>0.78</v>
      </c>
      <c r="I26">
        <v>0.01</v>
      </c>
      <c r="J26" s="4">
        <f t="shared" si="1"/>
        <v>0.27368421052631581</v>
      </c>
      <c r="K26" s="4">
        <f t="shared" si="7"/>
        <v>4.4690674053554941E-3</v>
      </c>
      <c r="L26" s="8">
        <f t="shared" si="3"/>
        <v>393878.26086956525</v>
      </c>
      <c r="M26" s="7">
        <f t="shared" si="4"/>
        <v>235599.99999999997</v>
      </c>
      <c r="N26">
        <f t="shared" si="5"/>
        <v>116437.05113279574</v>
      </c>
    </row>
    <row r="27" spans="1:14" x14ac:dyDescent="0.3">
      <c r="A27" s="2">
        <v>24</v>
      </c>
      <c r="B27">
        <v>1</v>
      </c>
      <c r="C27">
        <v>24</v>
      </c>
      <c r="D27" s="5">
        <f t="shared" si="6"/>
        <v>1.9841637812146062</v>
      </c>
      <c r="E27" s="6">
        <v>123000</v>
      </c>
      <c r="F27" s="3">
        <v>3.18</v>
      </c>
      <c r="G27">
        <v>0.01</v>
      </c>
      <c r="H27" s="3">
        <v>0.72</v>
      </c>
      <c r="I27">
        <v>0.01</v>
      </c>
      <c r="J27" s="4">
        <f t="shared" si="1"/>
        <v>0.22641509433962262</v>
      </c>
      <c r="K27" s="4">
        <f t="shared" si="7"/>
        <v>3.8566512400617062E-3</v>
      </c>
      <c r="L27" s="8">
        <f t="shared" si="3"/>
        <v>389500</v>
      </c>
      <c r="M27" s="7">
        <f t="shared" si="4"/>
        <v>288799.99999999919</v>
      </c>
      <c r="N27">
        <f t="shared" si="5"/>
        <v>119773.11503675256</v>
      </c>
    </row>
    <row r="28" spans="1:14" x14ac:dyDescent="0.3">
      <c r="A28" s="2">
        <v>25</v>
      </c>
      <c r="B28">
        <v>0</v>
      </c>
      <c r="C28">
        <v>25</v>
      </c>
      <c r="D28" s="5">
        <f t="shared" si="6"/>
        <v>2.0668372720985482</v>
      </c>
      <c r="E28" s="6">
        <v>126100</v>
      </c>
      <c r="F28" s="3">
        <v>2.89</v>
      </c>
      <c r="G28">
        <v>0.01</v>
      </c>
      <c r="H28" s="3">
        <v>0.56999999999999995</v>
      </c>
      <c r="I28">
        <v>0.01</v>
      </c>
      <c r="J28" s="4">
        <f t="shared" si="1"/>
        <v>0.19723183391003457</v>
      </c>
      <c r="K28" s="4">
        <f t="shared" si="7"/>
        <v>4.142670705571054E-3</v>
      </c>
      <c r="L28" s="8">
        <f t="shared" si="3"/>
        <v>383344</v>
      </c>
      <c r="M28" s="7">
        <f t="shared" si="4"/>
        <v>235599.99999999997</v>
      </c>
      <c r="N28">
        <f t="shared" si="5"/>
        <v>122904.54858281543</v>
      </c>
    </row>
    <row r="29" spans="1:14" x14ac:dyDescent="0.3">
      <c r="A29" s="2">
        <v>26</v>
      </c>
      <c r="B29">
        <v>1</v>
      </c>
      <c r="C29">
        <v>26</v>
      </c>
      <c r="D29" s="5">
        <f t="shared" si="6"/>
        <v>2.1495107629824903</v>
      </c>
      <c r="E29" s="6">
        <v>130000</v>
      </c>
      <c r="F29" s="3">
        <v>3.6</v>
      </c>
      <c r="G29">
        <v>0.01</v>
      </c>
      <c r="H29" s="3">
        <v>0.49</v>
      </c>
      <c r="I29">
        <v>0.01</v>
      </c>
      <c r="J29" s="4">
        <f t="shared" si="1"/>
        <v>0.1361111111111111</v>
      </c>
      <c r="K29" s="4">
        <f t="shared" si="7"/>
        <v>3.1558641975308645E-3</v>
      </c>
      <c r="L29" s="8">
        <f t="shared" si="3"/>
        <v>379999.99999999994</v>
      </c>
      <c r="M29" s="7">
        <f t="shared" si="4"/>
        <v>296399.99999999919</v>
      </c>
      <c r="N29">
        <f t="shared" si="5"/>
        <v>125826.00176929946</v>
      </c>
    </row>
    <row r="30" spans="1:14" x14ac:dyDescent="0.3">
      <c r="A30" s="2">
        <v>27</v>
      </c>
      <c r="B30">
        <v>0</v>
      </c>
      <c r="C30">
        <v>27</v>
      </c>
      <c r="D30" s="5">
        <f t="shared" si="6"/>
        <v>2.232184253866432</v>
      </c>
      <c r="E30" s="6">
        <v>132700</v>
      </c>
      <c r="F30" s="3">
        <v>2.7</v>
      </c>
      <c r="G30">
        <v>0.01</v>
      </c>
      <c r="H30" s="3">
        <v>0.39</v>
      </c>
      <c r="I30">
        <v>0.01</v>
      </c>
      <c r="J30" s="4">
        <f t="shared" si="1"/>
        <v>0.14444444444444443</v>
      </c>
      <c r="K30" s="4">
        <f t="shared" si="7"/>
        <v>4.2386831275720164E-3</v>
      </c>
      <c r="L30" s="8">
        <f t="shared" si="3"/>
        <v>373525.9259259259</v>
      </c>
      <c r="M30" s="7">
        <f t="shared" si="4"/>
        <v>205200.00000000055</v>
      </c>
      <c r="N30">
        <f t="shared" si="5"/>
        <v>128532.48334244174</v>
      </c>
    </row>
    <row r="31" spans="1:14" x14ac:dyDescent="0.3">
      <c r="A31" s="2">
        <v>28</v>
      </c>
      <c r="B31">
        <v>1</v>
      </c>
      <c r="C31">
        <v>28</v>
      </c>
      <c r="D31" s="5">
        <f t="shared" si="6"/>
        <v>2.3148577447503738</v>
      </c>
      <c r="E31" s="6">
        <v>136000</v>
      </c>
      <c r="F31" s="3">
        <v>3.91</v>
      </c>
      <c r="G31">
        <v>0.01</v>
      </c>
      <c r="H31" s="3">
        <v>0.33</v>
      </c>
      <c r="I31">
        <v>0.01</v>
      </c>
      <c r="J31" s="4">
        <f t="shared" si="1"/>
        <v>8.4398976982097182E-2</v>
      </c>
      <c r="K31" s="4">
        <f t="shared" si="7"/>
        <v>2.7733989181127801E-3</v>
      </c>
      <c r="L31" s="8">
        <f t="shared" si="3"/>
        <v>369142.85714285716</v>
      </c>
      <c r="M31" s="7">
        <f t="shared" si="4"/>
        <v>250800.00000000067</v>
      </c>
      <c r="N31">
        <f t="shared" si="5"/>
        <v>131019.36932387472</v>
      </c>
    </row>
    <row r="32" spans="1:14" x14ac:dyDescent="0.3">
      <c r="A32" s="2">
        <v>29</v>
      </c>
      <c r="B32">
        <v>0</v>
      </c>
      <c r="C32">
        <v>29</v>
      </c>
      <c r="D32" s="5">
        <f t="shared" si="6"/>
        <v>2.3975312356343159</v>
      </c>
      <c r="E32" s="6">
        <v>138700</v>
      </c>
      <c r="F32" s="3">
        <v>4.16</v>
      </c>
      <c r="G32">
        <v>0.01</v>
      </c>
      <c r="H32" s="3">
        <v>0.32</v>
      </c>
      <c r="I32">
        <v>0.01</v>
      </c>
      <c r="J32" s="4">
        <f t="shared" si="1"/>
        <v>7.6923076923076927E-2</v>
      </c>
      <c r="K32" s="4">
        <f t="shared" si="7"/>
        <v>2.5887573964497044E-3</v>
      </c>
      <c r="L32" s="8">
        <f t="shared" si="3"/>
        <v>363489.6551724138</v>
      </c>
      <c r="M32" s="7">
        <f t="shared" si="4"/>
        <v>205199.99999999945</v>
      </c>
      <c r="N32">
        <f t="shared" si="5"/>
        <v>133282.41091061567</v>
      </c>
    </row>
    <row r="33" spans="1:14" x14ac:dyDescent="0.3">
      <c r="A33" s="2">
        <v>30</v>
      </c>
      <c r="B33">
        <v>1</v>
      </c>
      <c r="C33">
        <v>30</v>
      </c>
      <c r="D33" s="5">
        <f t="shared" si="6"/>
        <v>2.4802047265182576</v>
      </c>
      <c r="E33" s="6">
        <v>141200</v>
      </c>
      <c r="F33" s="3">
        <v>4.1100000000000003</v>
      </c>
      <c r="G33">
        <v>0.01</v>
      </c>
      <c r="H33" s="3">
        <v>0.28000000000000003</v>
      </c>
      <c r="I33">
        <v>0.01</v>
      </c>
      <c r="J33" s="4">
        <f t="shared" si="1"/>
        <v>6.8126520681265207E-2</v>
      </c>
      <c r="K33" s="4">
        <f t="shared" si="7"/>
        <v>2.5988479821928596E-3</v>
      </c>
      <c r="L33" s="8">
        <f t="shared" si="3"/>
        <v>357706.66666666669</v>
      </c>
      <c r="M33" s="7">
        <f t="shared" si="4"/>
        <v>190000.00000000049</v>
      </c>
      <c r="N33">
        <f t="shared" si="5"/>
        <v>135317.74173407519</v>
      </c>
    </row>
    <row r="34" spans="1:14" x14ac:dyDescent="0.3">
      <c r="A34" s="1">
        <v>31</v>
      </c>
      <c r="B34">
        <v>0</v>
      </c>
      <c r="C34">
        <v>31</v>
      </c>
      <c r="D34" s="5">
        <f t="shared" si="6"/>
        <v>2.5628782174021993</v>
      </c>
      <c r="E34" s="6">
        <v>143500</v>
      </c>
      <c r="F34" s="3">
        <v>3.52</v>
      </c>
      <c r="G34">
        <v>0.01</v>
      </c>
      <c r="H34" s="3">
        <v>0.2</v>
      </c>
      <c r="I34">
        <v>0.01</v>
      </c>
      <c r="J34" s="4">
        <f t="shared" si="1"/>
        <v>5.6818181818181823E-2</v>
      </c>
      <c r="K34" s="4">
        <f t="shared" si="7"/>
        <v>3.0023243801652892E-3</v>
      </c>
      <c r="L34" s="8">
        <f t="shared" si="3"/>
        <v>351806.45161290327</v>
      </c>
      <c r="M34" s="7">
        <f t="shared" si="4"/>
        <v>174800.00000000044</v>
      </c>
      <c r="N34">
        <f t="shared" si="5"/>
        <v>137121.88446568334</v>
      </c>
    </row>
    <row r="35" spans="1:14" x14ac:dyDescent="0.3">
      <c r="A35" s="1">
        <v>32</v>
      </c>
      <c r="B35">
        <v>1</v>
      </c>
      <c r="C35">
        <v>32</v>
      </c>
      <c r="D35" s="5">
        <f t="shared" si="6"/>
        <v>2.6455517082861415</v>
      </c>
      <c r="E35" s="6">
        <v>145300</v>
      </c>
      <c r="F35" s="3">
        <v>3.59</v>
      </c>
      <c r="G35">
        <v>0.01</v>
      </c>
      <c r="H35" s="3">
        <v>0.09</v>
      </c>
      <c r="I35">
        <v>0.01</v>
      </c>
      <c r="J35" s="4">
        <f t="shared" si="1"/>
        <v>2.5069637883008356E-2</v>
      </c>
      <c r="K35" s="4">
        <f t="shared" si="7"/>
        <v>2.855347180732614E-3</v>
      </c>
      <c r="L35" s="8">
        <f t="shared" si="3"/>
        <v>345087.5</v>
      </c>
      <c r="M35" s="7">
        <f t="shared" si="4"/>
        <v>136799.99999999962</v>
      </c>
      <c r="N35">
        <f t="shared" si="5"/>
        <v>138691.75675784692</v>
      </c>
    </row>
    <row r="36" spans="1:14" x14ac:dyDescent="0.3">
      <c r="D36" s="5"/>
    </row>
    <row r="37" spans="1:14" x14ac:dyDescent="0.3">
      <c r="D37" s="5"/>
    </row>
    <row r="38" spans="1:14" x14ac:dyDescent="0.3">
      <c r="D38" s="5"/>
    </row>
    <row r="39" spans="1:14" x14ac:dyDescent="0.3">
      <c r="D39" s="5"/>
    </row>
    <row r="40" spans="1:14" x14ac:dyDescent="0.3">
      <c r="D40" s="5"/>
    </row>
    <row r="41" spans="1:14" x14ac:dyDescent="0.3">
      <c r="D41" s="5"/>
    </row>
    <row r="42" spans="1:14" x14ac:dyDescent="0.3">
      <c r="D42" s="5"/>
    </row>
    <row r="43" spans="1:14" x14ac:dyDescent="0.3">
      <c r="D43" s="5"/>
    </row>
    <row r="44" spans="1:14" x14ac:dyDescent="0.3">
      <c r="D44" s="5"/>
    </row>
    <row r="45" spans="1:14" x14ac:dyDescent="0.3">
      <c r="D45" s="5"/>
    </row>
    <row r="46" spans="1:14" x14ac:dyDescent="0.3">
      <c r="D46" s="5"/>
    </row>
    <row r="47" spans="1:14" x14ac:dyDescent="0.3">
      <c r="D47" s="5"/>
    </row>
    <row r="48" spans="1:14" x14ac:dyDescent="0.3">
      <c r="D48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Mansilla, Saul</dc:creator>
  <cp:lastModifiedBy>Saúl Díaz Mansilla</cp:lastModifiedBy>
  <dcterms:created xsi:type="dcterms:W3CDTF">2026-02-12T11:28:20Z</dcterms:created>
  <dcterms:modified xsi:type="dcterms:W3CDTF">2026-02-18T11:06:38Z</dcterms:modified>
</cp:coreProperties>
</file>