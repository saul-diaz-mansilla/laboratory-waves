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laboratory-waves\data\electrical\gaussian_res\"/>
    </mc:Choice>
  </mc:AlternateContent>
  <xr:revisionPtr revIDLastSave="0" documentId="13_ncr:1_{C365B02D-C21C-42EB-85A4-D4E3EBBCE01D}" xr6:coauthVersionLast="47" xr6:coauthVersionMax="47" xr10:uidLastSave="{00000000-0000-0000-0000-000000000000}"/>
  <bookViews>
    <workbookView xWindow="-108" yWindow="-108" windowWidth="23256" windowHeight="12456" xr2:uid="{D73005F2-5D69-4685-BA2C-A4D36748C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F1" i="1"/>
  <c r="H1" i="1"/>
  <c r="P1" i="1"/>
  <c r="L1" i="1"/>
  <c r="B4" i="1"/>
  <c r="B12" i="1" l="1"/>
  <c r="B10" i="1"/>
  <c r="B9" i="1"/>
  <c r="B8" i="1"/>
  <c r="B7" i="1"/>
  <c r="B6" i="1"/>
  <c r="B5" i="1"/>
  <c r="B3" i="1" l="1"/>
</calcChain>
</file>

<file path=xl/sharedStrings.xml><?xml version="1.0" encoding="utf-8"?>
<sst xmlns="http://schemas.openxmlformats.org/spreadsheetml/2006/main" count="12" uniqueCount="12">
  <si>
    <t>sections</t>
  </si>
  <si>
    <t>Z_0 (ohm)</t>
  </si>
  <si>
    <t>L (H/sec)</t>
  </si>
  <si>
    <t>C (F/sec)</t>
  </si>
  <si>
    <t>R (ohm)</t>
  </si>
  <si>
    <t>err (ohm)</t>
  </si>
  <si>
    <t>Vpp_in (V)</t>
  </si>
  <si>
    <t>err (H/sec)</t>
  </si>
  <si>
    <t>err (F/sec)</t>
  </si>
  <si>
    <t>f_c (Hz)</t>
  </si>
  <si>
    <t>err (Hz)</t>
  </si>
  <si>
    <t>f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</si>
</sst>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0.000"/>
    <numFmt numFmtId="166" formatCode="0.000E+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2" fontId="0" fillId="0" borderId="0" xfId="1" applyNumberFormat="1" applyFont="1" applyAlignment="1">
      <alignment horizontal="left"/>
    </xf>
    <xf numFmtId="12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1" fontId="0" fillId="0" borderId="0" xfId="0" applyNumberFormat="1"/>
    <xf numFmtId="166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6CA6-FD9C-49C3-B77C-956FA8CD82CE}">
  <dimension ref="A1:S36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1" max="1" width="9.88671875" style="1" customWidth="1"/>
    <col min="3" max="3" width="9.44140625" customWidth="1"/>
    <col min="4" max="4" width="11.6640625" style="4" customWidth="1"/>
    <col min="5" max="5" width="11.109375" style="5" customWidth="1"/>
    <col min="6" max="6" width="11.33203125" style="5" customWidth="1"/>
    <col min="7" max="7" width="9.44140625" customWidth="1"/>
    <col min="8" max="8" width="9.33203125" customWidth="1"/>
    <col min="10" max="10" width="8.5546875" customWidth="1"/>
    <col min="11" max="11" width="10.88671875" customWidth="1"/>
    <col min="12" max="12" width="8.33203125" customWidth="1"/>
    <col min="13" max="13" width="9.109375" customWidth="1"/>
    <col min="14" max="14" width="8.5546875" customWidth="1"/>
    <col min="15" max="15" width="14.33203125" style="6" customWidth="1"/>
    <col min="16" max="16" width="14.109375" customWidth="1"/>
    <col min="17" max="17" width="13.88671875" customWidth="1"/>
  </cols>
  <sheetData>
    <row r="1" spans="1:19" x14ac:dyDescent="0.3">
      <c r="A1" s="1" t="s">
        <v>0</v>
      </c>
      <c r="B1">
        <v>38</v>
      </c>
      <c r="C1" t="s">
        <v>6</v>
      </c>
      <c r="D1" s="4">
        <v>5</v>
      </c>
      <c r="E1" s="5" t="s">
        <v>9</v>
      </c>
      <c r="F1" s="5">
        <f>1/PI()*SQRT(1/J1/N1)</f>
        <v>143069.65432386796</v>
      </c>
      <c r="G1" t="s">
        <v>10</v>
      </c>
      <c r="H1" s="5">
        <f>1/PI()*(0.5*L1*J1^(-1.5)*N1^(-0.5)+0.5*P1*J1^(-0.5)*N1^(-1.5))</f>
        <v>21460.448148580184</v>
      </c>
      <c r="I1" t="s">
        <v>2</v>
      </c>
      <c r="J1" s="6">
        <v>3.3E-4</v>
      </c>
      <c r="K1" t="s">
        <v>7</v>
      </c>
      <c r="L1" s="6">
        <f>0.2*J1</f>
        <v>6.6000000000000005E-5</v>
      </c>
      <c r="M1" t="s">
        <v>3</v>
      </c>
      <c r="N1" s="6">
        <v>1.4999999999999999E-8</v>
      </c>
      <c r="O1" s="6" t="s">
        <v>8</v>
      </c>
      <c r="P1" s="6">
        <f>0.1*N1</f>
        <v>1.5E-9</v>
      </c>
    </row>
    <row r="2" spans="1:19" x14ac:dyDescent="0.3">
      <c r="A2" s="5" t="s">
        <v>11</v>
      </c>
      <c r="B2" s="5" t="s">
        <v>1</v>
      </c>
      <c r="C2" t="s">
        <v>4</v>
      </c>
      <c r="D2" t="s">
        <v>5</v>
      </c>
      <c r="O2"/>
      <c r="Q2" s="6"/>
    </row>
    <row r="3" spans="1:19" x14ac:dyDescent="0.3">
      <c r="A3" s="5">
        <v>20000</v>
      </c>
      <c r="B3" s="5">
        <f t="shared" ref="B3:B12" si="0">SQRT($J$1/$N$1)/SQRT(1-(A3/$F$1)^2)</f>
        <v>149.79482246118945</v>
      </c>
      <c r="D3">
        <v>1</v>
      </c>
      <c r="I3" s="3"/>
      <c r="K3" s="3"/>
      <c r="M3" s="4"/>
      <c r="N3" s="4"/>
      <c r="O3"/>
      <c r="Q3" s="6"/>
      <c r="R3" s="6"/>
      <c r="S3" s="6"/>
    </row>
    <row r="4" spans="1:19" x14ac:dyDescent="0.3">
      <c r="A4" s="5">
        <v>33333</v>
      </c>
      <c r="B4" s="5">
        <f t="shared" si="0"/>
        <v>152.52128403559743</v>
      </c>
      <c r="D4">
        <v>1</v>
      </c>
      <c r="I4" s="3"/>
      <c r="K4" s="3"/>
      <c r="M4" s="4"/>
      <c r="N4" s="4"/>
      <c r="O4" s="7"/>
      <c r="P4" s="6"/>
      <c r="Q4" s="6"/>
      <c r="R4" s="6"/>
      <c r="S4" s="6"/>
    </row>
    <row r="5" spans="1:19" x14ac:dyDescent="0.3">
      <c r="A5" s="5">
        <v>46666</v>
      </c>
      <c r="B5" s="5">
        <f t="shared" si="0"/>
        <v>156.90531141723517</v>
      </c>
      <c r="D5">
        <v>1</v>
      </c>
      <c r="I5" s="3"/>
      <c r="K5" s="3"/>
      <c r="M5" s="4"/>
      <c r="N5" s="4"/>
      <c r="O5" s="7"/>
      <c r="P5" s="6"/>
      <c r="Q5" s="6"/>
      <c r="R5" s="6"/>
      <c r="S5" s="6"/>
    </row>
    <row r="6" spans="1:19" x14ac:dyDescent="0.3">
      <c r="A6" s="5">
        <v>59999</v>
      </c>
      <c r="B6" s="5">
        <f t="shared" si="0"/>
        <v>163.38553598783093</v>
      </c>
      <c r="D6">
        <v>1</v>
      </c>
      <c r="I6" s="3"/>
      <c r="K6" s="3"/>
      <c r="M6" s="4"/>
      <c r="N6" s="4"/>
      <c r="O6" s="7"/>
      <c r="P6" s="6"/>
      <c r="Q6" s="6"/>
      <c r="R6" s="6"/>
      <c r="S6" s="6"/>
    </row>
    <row r="7" spans="1:19" x14ac:dyDescent="0.3">
      <c r="A7" s="5">
        <v>73332</v>
      </c>
      <c r="B7" s="5">
        <f t="shared" si="0"/>
        <v>172.74079430644522</v>
      </c>
      <c r="C7">
        <v>173</v>
      </c>
      <c r="D7">
        <v>1</v>
      </c>
      <c r="I7" s="3"/>
      <c r="K7" s="3"/>
      <c r="M7" s="4"/>
      <c r="N7" s="4"/>
      <c r="O7" s="7"/>
      <c r="P7" s="6"/>
      <c r="Q7" s="6"/>
      <c r="R7" s="6"/>
      <c r="S7" s="6"/>
    </row>
    <row r="8" spans="1:19" x14ac:dyDescent="0.3">
      <c r="A8" s="5">
        <v>86665</v>
      </c>
      <c r="B8" s="5">
        <f t="shared" si="0"/>
        <v>186.41812761757734</v>
      </c>
      <c r="C8">
        <v>185</v>
      </c>
      <c r="D8">
        <v>1</v>
      </c>
      <c r="I8" s="3"/>
      <c r="K8" s="3"/>
      <c r="M8" s="4"/>
      <c r="N8" s="4"/>
      <c r="O8" s="7"/>
      <c r="P8" s="6"/>
      <c r="Q8" s="6"/>
      <c r="R8" s="6"/>
      <c r="S8" s="6"/>
    </row>
    <row r="9" spans="1:19" x14ac:dyDescent="0.3">
      <c r="A9" s="5">
        <v>99998</v>
      </c>
      <c r="B9" s="5">
        <f t="shared" si="0"/>
        <v>207.39558497177143</v>
      </c>
      <c r="C9">
        <v>208</v>
      </c>
      <c r="D9">
        <v>1</v>
      </c>
      <c r="I9" s="3"/>
      <c r="K9" s="3"/>
      <c r="M9" s="4"/>
      <c r="N9" s="4"/>
      <c r="O9" s="7"/>
      <c r="P9" s="6"/>
      <c r="Q9" s="6"/>
      <c r="R9" s="6"/>
      <c r="S9" s="6"/>
    </row>
    <row r="10" spans="1:19" x14ac:dyDescent="0.3">
      <c r="A10" s="5">
        <v>113331</v>
      </c>
      <c r="B10" s="5">
        <f t="shared" si="0"/>
        <v>243.01811466644838</v>
      </c>
      <c r="C10">
        <v>242</v>
      </c>
      <c r="D10">
        <v>1</v>
      </c>
      <c r="I10" s="3"/>
      <c r="K10" s="3"/>
      <c r="M10" s="4"/>
      <c r="N10" s="4"/>
      <c r="O10" s="7"/>
      <c r="P10" s="6"/>
      <c r="Q10" s="6"/>
      <c r="R10" s="6"/>
      <c r="S10" s="6"/>
    </row>
    <row r="11" spans="1:19" x14ac:dyDescent="0.3">
      <c r="A11" s="5">
        <v>126664</v>
      </c>
      <c r="B11" s="5">
        <f t="shared" si="0"/>
        <v>319.00281974078382</v>
      </c>
      <c r="C11">
        <v>320</v>
      </c>
      <c r="D11">
        <v>1</v>
      </c>
      <c r="I11" s="3"/>
      <c r="K11" s="3"/>
      <c r="M11" s="4"/>
      <c r="N11" s="4"/>
      <c r="O11" s="7"/>
      <c r="P11" s="6"/>
      <c r="Q11" s="6"/>
      <c r="R11" s="6"/>
      <c r="S11" s="6"/>
    </row>
    <row r="12" spans="1:19" x14ac:dyDescent="0.3">
      <c r="A12" s="5">
        <v>139997</v>
      </c>
      <c r="B12" s="5">
        <f t="shared" si="0"/>
        <v>719.54450358723875</v>
      </c>
      <c r="C12">
        <v>721</v>
      </c>
      <c r="D12">
        <v>1</v>
      </c>
      <c r="I12" s="3"/>
      <c r="K12" s="3"/>
      <c r="M12" s="4"/>
      <c r="N12" s="4"/>
      <c r="O12" s="7"/>
      <c r="P12" s="6"/>
      <c r="Q12" s="6"/>
      <c r="R12" s="6"/>
      <c r="S12" s="6"/>
    </row>
    <row r="13" spans="1:19" x14ac:dyDescent="0.3">
      <c r="A13" s="2"/>
      <c r="I13" s="3"/>
      <c r="K13" s="3"/>
      <c r="M13" s="4"/>
      <c r="N13" s="4"/>
      <c r="O13" s="7"/>
      <c r="P13" s="6"/>
      <c r="Q13" s="6"/>
      <c r="R13" s="6"/>
      <c r="S13" s="6"/>
    </row>
    <row r="14" spans="1:19" x14ac:dyDescent="0.3">
      <c r="A14" s="2"/>
      <c r="I14" s="3"/>
      <c r="K14" s="3"/>
      <c r="M14" s="4"/>
      <c r="N14" s="4"/>
      <c r="O14" s="7"/>
      <c r="P14" s="6"/>
      <c r="Q14" s="6"/>
      <c r="R14" s="6"/>
      <c r="S14" s="6"/>
    </row>
    <row r="15" spans="1:19" x14ac:dyDescent="0.3">
      <c r="A15" s="2"/>
      <c r="I15" s="3"/>
      <c r="K15" s="3"/>
      <c r="M15" s="4"/>
      <c r="N15" s="4"/>
      <c r="O15" s="7"/>
      <c r="P15" s="6"/>
      <c r="Q15" s="6"/>
      <c r="R15" s="6"/>
      <c r="S15" s="6"/>
    </row>
    <row r="16" spans="1:19" x14ac:dyDescent="0.3">
      <c r="A16" s="2"/>
      <c r="I16" s="3"/>
      <c r="K16" s="3"/>
      <c r="M16" s="4"/>
      <c r="N16" s="4"/>
      <c r="O16" s="7"/>
      <c r="P16" s="6"/>
      <c r="Q16" s="6"/>
      <c r="R16" s="6"/>
      <c r="S16" s="6"/>
    </row>
    <row r="17" spans="1:19" x14ac:dyDescent="0.3">
      <c r="A17" s="2"/>
      <c r="I17" s="3"/>
      <c r="K17" s="3"/>
      <c r="M17" s="4"/>
      <c r="N17" s="4"/>
      <c r="O17" s="7"/>
      <c r="P17" s="6"/>
      <c r="Q17" s="6"/>
      <c r="R17" s="6"/>
      <c r="S17" s="6"/>
    </row>
    <row r="18" spans="1:19" x14ac:dyDescent="0.3">
      <c r="A18" s="2"/>
      <c r="I18" s="3"/>
      <c r="K18" s="3"/>
      <c r="M18" s="4"/>
      <c r="N18" s="4"/>
      <c r="O18" s="7"/>
      <c r="P18" s="6"/>
      <c r="Q18" s="6"/>
      <c r="R18" s="6"/>
      <c r="S18" s="6"/>
    </row>
    <row r="19" spans="1:19" x14ac:dyDescent="0.3">
      <c r="A19" s="2"/>
      <c r="I19" s="3"/>
      <c r="K19" s="3"/>
      <c r="M19" s="4"/>
      <c r="N19" s="4"/>
      <c r="O19" s="7"/>
      <c r="P19" s="6"/>
      <c r="Q19" s="6"/>
      <c r="R19" s="6"/>
      <c r="S19" s="6"/>
    </row>
    <row r="20" spans="1:19" x14ac:dyDescent="0.3">
      <c r="A20" s="2"/>
      <c r="I20" s="3"/>
      <c r="K20" s="3"/>
      <c r="M20" s="4"/>
      <c r="N20" s="4"/>
      <c r="O20" s="7"/>
      <c r="P20" s="6"/>
      <c r="Q20" s="6"/>
      <c r="R20" s="6"/>
      <c r="S20" s="6"/>
    </row>
    <row r="21" spans="1:19" x14ac:dyDescent="0.3">
      <c r="A21" s="2"/>
      <c r="I21" s="3"/>
      <c r="K21" s="3"/>
      <c r="M21" s="4"/>
      <c r="N21" s="4"/>
      <c r="O21" s="7"/>
      <c r="P21" s="6"/>
      <c r="Q21" s="6"/>
      <c r="R21" s="6"/>
      <c r="S21" s="6"/>
    </row>
    <row r="22" spans="1:19" x14ac:dyDescent="0.3">
      <c r="A22" s="2"/>
      <c r="I22" s="3"/>
      <c r="K22" s="3"/>
      <c r="M22" s="4"/>
      <c r="N22" s="4"/>
      <c r="O22" s="7"/>
      <c r="P22" s="6"/>
      <c r="Q22" s="6"/>
      <c r="R22" s="6"/>
      <c r="S22" s="6"/>
    </row>
    <row r="23" spans="1:19" x14ac:dyDescent="0.3">
      <c r="A23" s="2"/>
      <c r="I23" s="3"/>
      <c r="K23" s="3"/>
      <c r="M23" s="4"/>
      <c r="N23" s="4"/>
      <c r="O23" s="7"/>
      <c r="P23" s="6"/>
      <c r="Q23" s="6"/>
      <c r="R23" s="6"/>
      <c r="S23" s="6"/>
    </row>
    <row r="24" spans="1:19" x14ac:dyDescent="0.3">
      <c r="A24" s="2"/>
      <c r="I24" s="3"/>
      <c r="K24" s="3"/>
      <c r="M24" s="4"/>
      <c r="N24" s="4"/>
      <c r="O24" s="7"/>
      <c r="P24" s="6"/>
      <c r="Q24" s="6"/>
      <c r="R24" s="6"/>
      <c r="S24" s="6"/>
    </row>
    <row r="25" spans="1:19" x14ac:dyDescent="0.3">
      <c r="A25" s="2"/>
      <c r="I25" s="3"/>
      <c r="K25" s="3"/>
      <c r="M25" s="4"/>
      <c r="N25" s="4"/>
      <c r="O25" s="7"/>
      <c r="P25" s="6"/>
      <c r="Q25" s="6"/>
      <c r="R25" s="6"/>
      <c r="S25" s="6"/>
    </row>
    <row r="26" spans="1:19" x14ac:dyDescent="0.3">
      <c r="A26" s="2"/>
      <c r="I26" s="3"/>
      <c r="K26" s="3"/>
      <c r="M26" s="4"/>
      <c r="N26" s="4"/>
      <c r="O26" s="7"/>
      <c r="P26" s="6"/>
      <c r="Q26" s="6"/>
      <c r="R26" s="6"/>
      <c r="S26" s="6"/>
    </row>
    <row r="27" spans="1:19" x14ac:dyDescent="0.3">
      <c r="A27" s="2"/>
      <c r="I27" s="3"/>
      <c r="K27" s="3"/>
      <c r="M27" s="4"/>
      <c r="N27" s="4"/>
      <c r="O27" s="7"/>
      <c r="P27" s="6"/>
      <c r="Q27" s="6"/>
      <c r="R27" s="6"/>
      <c r="S27" s="6"/>
    </row>
    <row r="28" spans="1:19" x14ac:dyDescent="0.3">
      <c r="A28" s="2"/>
      <c r="I28" s="3"/>
      <c r="K28" s="3"/>
      <c r="M28" s="4"/>
      <c r="N28" s="4"/>
      <c r="O28" s="7"/>
      <c r="P28" s="6"/>
      <c r="Q28" s="6"/>
      <c r="R28" s="6"/>
      <c r="S28" s="6"/>
    </row>
    <row r="29" spans="1:19" x14ac:dyDescent="0.3">
      <c r="A29" s="2"/>
      <c r="I29" s="3"/>
      <c r="K29" s="3"/>
      <c r="M29" s="4"/>
      <c r="N29" s="4"/>
      <c r="O29" s="7"/>
      <c r="P29" s="6"/>
      <c r="Q29" s="6"/>
      <c r="R29" s="6"/>
      <c r="S29" s="6"/>
    </row>
    <row r="30" spans="1:19" x14ac:dyDescent="0.3">
      <c r="A30" s="2"/>
      <c r="I30" s="3"/>
      <c r="K30" s="3"/>
      <c r="M30" s="4"/>
      <c r="N30" s="4"/>
      <c r="O30" s="7"/>
      <c r="P30" s="6"/>
      <c r="Q30" s="6"/>
      <c r="R30" s="6"/>
      <c r="S30" s="6"/>
    </row>
    <row r="31" spans="1:19" x14ac:dyDescent="0.3">
      <c r="A31" s="2"/>
      <c r="I31" s="3"/>
      <c r="K31" s="3"/>
      <c r="M31" s="4"/>
      <c r="N31" s="4"/>
      <c r="O31" s="7"/>
      <c r="P31" s="6"/>
      <c r="Q31" s="6"/>
      <c r="R31" s="6"/>
      <c r="S31" s="6"/>
    </row>
    <row r="32" spans="1:19" x14ac:dyDescent="0.3">
      <c r="A32" s="2"/>
      <c r="I32" s="3"/>
      <c r="K32" s="3"/>
      <c r="M32" s="4"/>
      <c r="N32" s="4"/>
      <c r="O32" s="7"/>
      <c r="P32" s="6"/>
      <c r="Q32" s="6"/>
      <c r="R32" s="6"/>
      <c r="S32" s="6"/>
    </row>
    <row r="33" spans="1:19" x14ac:dyDescent="0.3">
      <c r="A33" s="2"/>
      <c r="I33" s="3"/>
      <c r="K33" s="3"/>
      <c r="M33" s="4"/>
      <c r="N33" s="4"/>
      <c r="O33" s="7"/>
      <c r="P33" s="6"/>
      <c r="Q33" s="6"/>
      <c r="R33" s="6"/>
      <c r="S33" s="6"/>
    </row>
    <row r="34" spans="1:19" x14ac:dyDescent="0.3">
      <c r="I34" s="3"/>
      <c r="K34" s="3"/>
      <c r="M34" s="4"/>
      <c r="N34" s="4"/>
      <c r="O34" s="7"/>
      <c r="P34" s="6"/>
      <c r="Q34" s="6"/>
      <c r="R34" s="6"/>
      <c r="S34" s="6"/>
    </row>
    <row r="35" spans="1:19" x14ac:dyDescent="0.3">
      <c r="I35" s="3"/>
      <c r="K35" s="3"/>
      <c r="M35" s="4"/>
      <c r="N35" s="4"/>
      <c r="O35" s="7"/>
      <c r="P35" s="6"/>
      <c r="Q35" s="6"/>
      <c r="R35" s="6"/>
      <c r="S35" s="6"/>
    </row>
    <row r="36" spans="1:19" x14ac:dyDescent="0.3">
      <c r="A36" s="5"/>
      <c r="K3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Mansilla, Saul</dc:creator>
  <cp:lastModifiedBy>Saúl Díaz Mansilla</cp:lastModifiedBy>
  <dcterms:created xsi:type="dcterms:W3CDTF">2026-02-12T11:28:20Z</dcterms:created>
  <dcterms:modified xsi:type="dcterms:W3CDTF">2026-02-23T17:47:58Z</dcterms:modified>
</cp:coreProperties>
</file>