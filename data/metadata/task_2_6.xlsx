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laboratory-waves\data\metadata\"/>
    </mc:Choice>
  </mc:AlternateContent>
  <xr:revisionPtr revIDLastSave="0" documentId="13_ncr:1_{1E4E114E-1D01-4F77-9094-B9A08B92F3A0}" xr6:coauthVersionLast="47" xr6:coauthVersionMax="47" xr10:uidLastSave="{00000000-0000-0000-0000-000000000000}"/>
  <bookViews>
    <workbookView xWindow="-108" yWindow="-108" windowWidth="23256" windowHeight="12456" xr2:uid="{D73005F2-5D69-4685-BA2C-A4D36748C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4" i="1"/>
  <c r="D28" i="1"/>
  <c r="D29" i="1"/>
  <c r="D30" i="1"/>
  <c r="D31" i="1"/>
  <c r="D32" i="1"/>
  <c r="D33" i="1"/>
  <c r="D19" i="1"/>
  <c r="D20" i="1"/>
  <c r="D21" i="1"/>
  <c r="D22" i="1"/>
  <c r="D23" i="1"/>
  <c r="D24" i="1"/>
  <c r="D25" i="1"/>
  <c r="D26" i="1"/>
  <c r="D27" i="1"/>
  <c r="D18" i="1"/>
  <c r="D1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3" i="1"/>
</calcChain>
</file>

<file path=xl/sharedStrings.xml><?xml version="1.0" encoding="utf-8"?>
<sst xmlns="http://schemas.openxmlformats.org/spreadsheetml/2006/main" count="12" uniqueCount="11">
  <si>
    <t>n</t>
  </si>
  <si>
    <t>in phase</t>
  </si>
  <si>
    <t>freq (Hz)</t>
  </si>
  <si>
    <t>err (V)</t>
  </si>
  <si>
    <t>sections</t>
  </si>
  <si>
    <t>k_n (sections^-1)</t>
  </si>
  <si>
    <t>File number</t>
  </si>
  <si>
    <t>Vpp in (V)</t>
  </si>
  <si>
    <t>vpp_0 (V)</t>
  </si>
  <si>
    <t>vpp_38 (V)</t>
  </si>
  <si>
    <t>f_c (s^-1)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</si>
</sst>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0.000"/>
    <numFmt numFmtId="166" formatCode="0.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2" fontId="0" fillId="0" borderId="0" xfId="1" applyNumberFormat="1" applyFont="1" applyAlignment="1">
      <alignment horizontal="left"/>
    </xf>
    <xf numFmtId="12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6CA6-FD9C-49C3-B77C-956FA8CD82CE}">
  <dimension ref="A1:I48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1" width="9.88671875" style="1" customWidth="1"/>
    <col min="3" max="3" width="13.33203125" customWidth="1"/>
    <col min="4" max="4" width="16.88671875" customWidth="1"/>
    <col min="5" max="5" width="11.109375" style="6" customWidth="1"/>
    <col min="6" max="6" width="11.33203125" customWidth="1"/>
    <col min="7" max="8" width="10.33203125" customWidth="1"/>
    <col min="10" max="10" width="10.44140625" customWidth="1"/>
    <col min="11" max="11" width="10.33203125" customWidth="1"/>
  </cols>
  <sheetData>
    <row r="1" spans="1:9" x14ac:dyDescent="0.3">
      <c r="A1" s="1" t="s">
        <v>4</v>
      </c>
      <c r="B1">
        <v>38</v>
      </c>
      <c r="C1" t="s">
        <v>7</v>
      </c>
      <c r="D1">
        <v>5</v>
      </c>
      <c r="E1" s="6" t="s">
        <v>10</v>
      </c>
      <c r="F1">
        <v>143069.65</v>
      </c>
    </row>
    <row r="2" spans="1:9" x14ac:dyDescent="0.3">
      <c r="A2" s="2" t="s">
        <v>0</v>
      </c>
      <c r="B2" t="s">
        <v>1</v>
      </c>
      <c r="C2" t="s">
        <v>6</v>
      </c>
      <c r="D2" t="s">
        <v>5</v>
      </c>
      <c r="E2" s="6" t="s">
        <v>2</v>
      </c>
      <c r="F2" t="s">
        <v>8</v>
      </c>
      <c r="G2" t="s">
        <v>3</v>
      </c>
      <c r="H2" t="s">
        <v>9</v>
      </c>
      <c r="I2" t="s">
        <v>3</v>
      </c>
    </row>
    <row r="3" spans="1:9" x14ac:dyDescent="0.3">
      <c r="A3" s="2">
        <v>0</v>
      </c>
      <c r="B3">
        <v>1</v>
      </c>
      <c r="C3">
        <v>0</v>
      </c>
      <c r="D3" s="5">
        <f>PI()*A3/$B$1</f>
        <v>0</v>
      </c>
      <c r="E3" s="6">
        <v>20</v>
      </c>
      <c r="F3" s="4">
        <v>2.1320000000000001</v>
      </c>
      <c r="G3">
        <v>1E-3</v>
      </c>
      <c r="H3" s="3">
        <v>1.89</v>
      </c>
      <c r="I3">
        <v>0.01</v>
      </c>
    </row>
    <row r="4" spans="1:9" x14ac:dyDescent="0.3">
      <c r="A4" s="2">
        <v>1</v>
      </c>
      <c r="B4">
        <v>0</v>
      </c>
      <c r="C4">
        <v>1</v>
      </c>
      <c r="D4" s="5">
        <f>PI()*A4/$B$1</f>
        <v>8.2673490883941922E-2</v>
      </c>
      <c r="E4" s="6">
        <v>5900</v>
      </c>
      <c r="F4" s="3">
        <v>2.5499999999999998</v>
      </c>
      <c r="G4">
        <v>0.01</v>
      </c>
      <c r="H4" s="3">
        <v>2.34</v>
      </c>
      <c r="I4">
        <v>0.01</v>
      </c>
    </row>
    <row r="5" spans="1:9" x14ac:dyDescent="0.3">
      <c r="A5" s="2">
        <v>2</v>
      </c>
      <c r="B5">
        <v>1</v>
      </c>
      <c r="C5">
        <v>2</v>
      </c>
      <c r="D5" s="5">
        <f>PI()*A5/$B$1</f>
        <v>0.16534698176788384</v>
      </c>
      <c r="E5" s="6">
        <v>11800</v>
      </c>
      <c r="F5" s="3">
        <v>2.4</v>
      </c>
      <c r="G5">
        <v>0.01</v>
      </c>
      <c r="H5" s="3">
        <v>2.2799999999999998</v>
      </c>
      <c r="I5">
        <v>0.01</v>
      </c>
    </row>
    <row r="6" spans="1:9" x14ac:dyDescent="0.3">
      <c r="A6" s="2">
        <v>3</v>
      </c>
      <c r="B6">
        <v>0</v>
      </c>
      <c r="C6">
        <v>3</v>
      </c>
      <c r="D6" s="5">
        <f>PI()*A6/$B$1</f>
        <v>0.24802047265182578</v>
      </c>
      <c r="E6" s="6">
        <v>17800</v>
      </c>
      <c r="F6" s="3">
        <v>2.4500000000000002</v>
      </c>
      <c r="G6">
        <v>0.01</v>
      </c>
      <c r="H6" s="3">
        <v>2.2200000000000002</v>
      </c>
      <c r="I6">
        <v>0.01</v>
      </c>
    </row>
    <row r="7" spans="1:9" x14ac:dyDescent="0.3">
      <c r="A7" s="2">
        <v>4</v>
      </c>
      <c r="B7">
        <v>1</v>
      </c>
      <c r="C7">
        <v>4</v>
      </c>
      <c r="D7" s="5">
        <f>PI()*A7/$B$1</f>
        <v>0.33069396353576769</v>
      </c>
      <c r="E7" s="6">
        <v>23600</v>
      </c>
      <c r="F7" s="3">
        <v>2.66</v>
      </c>
      <c r="G7">
        <v>0.01</v>
      </c>
      <c r="H7" s="3">
        <v>2.17</v>
      </c>
      <c r="I7">
        <v>0.01</v>
      </c>
    </row>
    <row r="8" spans="1:9" x14ac:dyDescent="0.3">
      <c r="A8" s="2">
        <v>5</v>
      </c>
      <c r="B8">
        <v>0</v>
      </c>
      <c r="C8">
        <v>5</v>
      </c>
      <c r="D8" s="5">
        <f>PI()*A8/$B$1</f>
        <v>0.41336745441970962</v>
      </c>
      <c r="E8" s="6">
        <v>29500</v>
      </c>
      <c r="F8" s="3">
        <v>2.46</v>
      </c>
      <c r="G8">
        <v>0.01</v>
      </c>
      <c r="H8" s="3">
        <v>2.1</v>
      </c>
      <c r="I8">
        <v>0.01</v>
      </c>
    </row>
    <row r="9" spans="1:9" x14ac:dyDescent="0.3">
      <c r="A9" s="2">
        <v>6</v>
      </c>
      <c r="B9">
        <v>1</v>
      </c>
      <c r="C9">
        <v>6</v>
      </c>
      <c r="D9" s="5">
        <f>PI()*A9/$B$1</f>
        <v>0.49604094530365156</v>
      </c>
      <c r="E9" s="6">
        <v>35200</v>
      </c>
      <c r="F9" s="3">
        <v>2.52</v>
      </c>
      <c r="G9">
        <v>0.01</v>
      </c>
      <c r="H9" s="3">
        <v>2</v>
      </c>
      <c r="I9">
        <v>0.01</v>
      </c>
    </row>
    <row r="10" spans="1:9" x14ac:dyDescent="0.3">
      <c r="A10" s="2">
        <v>7</v>
      </c>
      <c r="B10">
        <v>0</v>
      </c>
      <c r="C10">
        <v>7</v>
      </c>
      <c r="D10" s="5">
        <f>PI()*A10/$B$1</f>
        <v>0.57871443618759344</v>
      </c>
      <c r="E10" s="6">
        <v>41200</v>
      </c>
      <c r="F10" s="3">
        <v>2.5</v>
      </c>
      <c r="G10">
        <v>0.01</v>
      </c>
      <c r="H10" s="3">
        <v>1.95</v>
      </c>
      <c r="I10">
        <v>0.01</v>
      </c>
    </row>
    <row r="11" spans="1:9" x14ac:dyDescent="0.3">
      <c r="A11" s="2">
        <v>8</v>
      </c>
      <c r="B11">
        <v>1</v>
      </c>
      <c r="C11">
        <v>8</v>
      </c>
      <c r="D11" s="5">
        <f>PI()*A11/$B$1</f>
        <v>0.66138792707153538</v>
      </c>
      <c r="E11" s="6">
        <v>46700</v>
      </c>
      <c r="F11" s="3">
        <v>2.29</v>
      </c>
      <c r="G11">
        <v>0.01</v>
      </c>
      <c r="H11" s="3">
        <v>1.89</v>
      </c>
      <c r="I11">
        <v>0.01</v>
      </c>
    </row>
    <row r="12" spans="1:9" x14ac:dyDescent="0.3">
      <c r="A12" s="2">
        <v>9</v>
      </c>
      <c r="B12">
        <v>0</v>
      </c>
      <c r="C12">
        <v>9</v>
      </c>
      <c r="D12" s="5">
        <f>PI()*A12/$B$1</f>
        <v>0.74406141795547731</v>
      </c>
      <c r="E12" s="6">
        <v>52200</v>
      </c>
      <c r="F12" s="3">
        <v>2.5299999999999998</v>
      </c>
      <c r="G12">
        <v>0.01</v>
      </c>
      <c r="H12" s="3">
        <v>1.83</v>
      </c>
      <c r="I12">
        <v>0.01</v>
      </c>
    </row>
    <row r="13" spans="1:9" x14ac:dyDescent="0.3">
      <c r="A13" s="2">
        <v>10</v>
      </c>
      <c r="B13">
        <v>1</v>
      </c>
      <c r="C13">
        <v>10</v>
      </c>
      <c r="D13" s="5">
        <f>PI()*A13/$B$1</f>
        <v>0.82673490883941925</v>
      </c>
      <c r="E13" s="6">
        <v>57700</v>
      </c>
      <c r="F13" s="3">
        <v>2.6</v>
      </c>
      <c r="G13">
        <v>0.01</v>
      </c>
      <c r="H13" s="3">
        <v>1.76</v>
      </c>
      <c r="I13">
        <v>0.01</v>
      </c>
    </row>
    <row r="14" spans="1:9" x14ac:dyDescent="0.3">
      <c r="A14" s="2">
        <v>11</v>
      </c>
      <c r="B14">
        <v>0</v>
      </c>
      <c r="C14">
        <v>11</v>
      </c>
      <c r="D14" s="5">
        <f>PI()*A14/$B$1</f>
        <v>0.90940839972336107</v>
      </c>
      <c r="E14" s="6">
        <v>63500</v>
      </c>
      <c r="F14" s="3">
        <v>2.98</v>
      </c>
      <c r="G14">
        <v>0.01</v>
      </c>
      <c r="H14" s="3">
        <v>1.67</v>
      </c>
      <c r="I14">
        <v>0.01</v>
      </c>
    </row>
    <row r="15" spans="1:9" x14ac:dyDescent="0.3">
      <c r="A15" s="2">
        <v>12</v>
      </c>
      <c r="B15">
        <v>1</v>
      </c>
      <c r="C15">
        <v>12</v>
      </c>
      <c r="D15" s="5">
        <f>PI()*A15/$B$1</f>
        <v>0.99208189060730312</v>
      </c>
      <c r="E15" s="6">
        <v>69300</v>
      </c>
      <c r="F15" s="3">
        <v>2.2799999999999998</v>
      </c>
      <c r="G15">
        <v>0.01</v>
      </c>
      <c r="H15" s="3">
        <v>1.47</v>
      </c>
      <c r="I15">
        <v>0.01</v>
      </c>
    </row>
    <row r="16" spans="1:9" x14ac:dyDescent="0.3">
      <c r="A16" s="2">
        <v>13</v>
      </c>
      <c r="B16">
        <v>0</v>
      </c>
      <c r="C16">
        <v>13</v>
      </c>
      <c r="D16" s="5">
        <f>PI()*A16/$B$1</f>
        <v>1.0747553814912452</v>
      </c>
      <c r="E16" s="6">
        <v>73800</v>
      </c>
      <c r="F16" s="3">
        <v>2.91</v>
      </c>
      <c r="G16">
        <v>0.01</v>
      </c>
      <c r="H16" s="3">
        <v>1.43</v>
      </c>
      <c r="I16">
        <v>0.01</v>
      </c>
    </row>
    <row r="17" spans="1:9" x14ac:dyDescent="0.3">
      <c r="A17" s="2">
        <v>14</v>
      </c>
      <c r="B17">
        <v>1</v>
      </c>
      <c r="C17">
        <v>14</v>
      </c>
      <c r="D17" s="5">
        <f>PI()*A17/$B$1</f>
        <v>1.1574288723751869</v>
      </c>
      <c r="E17" s="6">
        <v>79500</v>
      </c>
      <c r="F17" s="3">
        <v>2.7</v>
      </c>
      <c r="G17">
        <v>0.01</v>
      </c>
      <c r="H17" s="3">
        <v>1.49</v>
      </c>
      <c r="I17">
        <v>0.01</v>
      </c>
    </row>
    <row r="18" spans="1:9" x14ac:dyDescent="0.3">
      <c r="A18" s="2">
        <v>15</v>
      </c>
      <c r="B18">
        <v>0</v>
      </c>
      <c r="C18">
        <v>15</v>
      </c>
      <c r="D18" s="5">
        <f>PI()*A18/$B$1</f>
        <v>1.2401023632591288</v>
      </c>
      <c r="E18" s="6">
        <v>84000</v>
      </c>
      <c r="F18" s="3">
        <v>2.65</v>
      </c>
      <c r="G18">
        <v>0.01</v>
      </c>
      <c r="H18" s="3">
        <v>1.4</v>
      </c>
      <c r="I18">
        <v>0.01</v>
      </c>
    </row>
    <row r="19" spans="1:9" x14ac:dyDescent="0.3">
      <c r="A19" s="2">
        <v>16</v>
      </c>
      <c r="B19">
        <v>1</v>
      </c>
      <c r="C19">
        <v>16</v>
      </c>
      <c r="D19" s="5">
        <f>PI()*A19/$B$1</f>
        <v>1.3227758541430708</v>
      </c>
      <c r="E19" s="6">
        <v>89200</v>
      </c>
      <c r="F19" s="3">
        <v>3.22</v>
      </c>
      <c r="G19">
        <v>0.01</v>
      </c>
      <c r="H19" s="3">
        <v>1.27</v>
      </c>
      <c r="I19">
        <v>0.01</v>
      </c>
    </row>
    <row r="20" spans="1:9" x14ac:dyDescent="0.3">
      <c r="A20" s="2">
        <v>17</v>
      </c>
      <c r="B20">
        <v>0</v>
      </c>
      <c r="C20">
        <v>17</v>
      </c>
      <c r="D20" s="5">
        <f>PI()*A20/$B$1</f>
        <v>1.4054493450270129</v>
      </c>
      <c r="E20" s="6">
        <v>93850</v>
      </c>
      <c r="F20" s="3">
        <v>2.0099999999999998</v>
      </c>
      <c r="G20">
        <v>0.01</v>
      </c>
      <c r="H20" s="3">
        <v>1.2</v>
      </c>
      <c r="I20">
        <v>0.01</v>
      </c>
    </row>
    <row r="21" spans="1:9" x14ac:dyDescent="0.3">
      <c r="A21" s="2">
        <v>18</v>
      </c>
      <c r="B21">
        <v>1</v>
      </c>
      <c r="C21">
        <v>18</v>
      </c>
      <c r="D21" s="5">
        <f>PI()*A21/$B$1</f>
        <v>1.4881228359109546</v>
      </c>
      <c r="E21" s="6">
        <v>98300</v>
      </c>
      <c r="F21" s="3">
        <v>3.15</v>
      </c>
      <c r="G21">
        <v>0.01</v>
      </c>
      <c r="H21" s="3">
        <v>1.1100000000000001</v>
      </c>
      <c r="I21">
        <v>0.01</v>
      </c>
    </row>
    <row r="22" spans="1:9" x14ac:dyDescent="0.3">
      <c r="A22" s="2">
        <v>19</v>
      </c>
      <c r="B22">
        <v>0</v>
      </c>
      <c r="C22">
        <v>19</v>
      </c>
      <c r="D22" s="5">
        <f>PI()*A22/$B$1</f>
        <v>1.5707963267948966</v>
      </c>
      <c r="E22" s="6">
        <v>102400</v>
      </c>
      <c r="F22" s="3">
        <v>2.68</v>
      </c>
      <c r="G22">
        <v>0.01</v>
      </c>
      <c r="H22" s="3">
        <v>0.87</v>
      </c>
      <c r="I22">
        <v>0.01</v>
      </c>
    </row>
    <row r="23" spans="1:9" x14ac:dyDescent="0.3">
      <c r="A23" s="2">
        <v>20</v>
      </c>
      <c r="B23">
        <v>1</v>
      </c>
      <c r="C23">
        <v>20</v>
      </c>
      <c r="D23" s="5">
        <f>PI()*A23/$B$1</f>
        <v>1.6534698176788385</v>
      </c>
      <c r="E23" s="6">
        <v>107750</v>
      </c>
      <c r="F23" s="3">
        <v>3.61</v>
      </c>
      <c r="G23">
        <v>0.01</v>
      </c>
      <c r="H23" s="3">
        <v>0.97</v>
      </c>
      <c r="I23">
        <v>0.01</v>
      </c>
    </row>
    <row r="24" spans="1:9" x14ac:dyDescent="0.3">
      <c r="A24" s="2">
        <v>21</v>
      </c>
      <c r="B24">
        <v>0</v>
      </c>
      <c r="C24">
        <v>21</v>
      </c>
      <c r="D24" s="5">
        <f>PI()*A24/$B$1</f>
        <v>1.7361433085627804</v>
      </c>
      <c r="E24" s="6">
        <v>111500</v>
      </c>
      <c r="F24" s="3">
        <v>3.19</v>
      </c>
      <c r="G24">
        <v>0.01</v>
      </c>
      <c r="H24" s="3">
        <v>0.91</v>
      </c>
      <c r="I24">
        <v>0.01</v>
      </c>
    </row>
    <row r="25" spans="1:9" x14ac:dyDescent="0.3">
      <c r="A25" s="2">
        <v>22</v>
      </c>
      <c r="B25">
        <v>1</v>
      </c>
      <c r="C25">
        <v>22</v>
      </c>
      <c r="D25" s="5">
        <f>PI()*A25/$B$1</f>
        <v>1.8188167994467221</v>
      </c>
      <c r="E25" s="6">
        <v>116100</v>
      </c>
      <c r="F25" s="3">
        <v>2.72</v>
      </c>
      <c r="G25">
        <v>0.01</v>
      </c>
      <c r="H25" s="3">
        <v>0.82</v>
      </c>
      <c r="I25">
        <v>0.01</v>
      </c>
    </row>
    <row r="26" spans="1:9" x14ac:dyDescent="0.3">
      <c r="A26" s="2">
        <v>23</v>
      </c>
      <c r="B26">
        <v>0</v>
      </c>
      <c r="C26">
        <v>23</v>
      </c>
      <c r="D26" s="5">
        <f>PI()*A26/$B$1</f>
        <v>1.9014902903306641</v>
      </c>
      <c r="E26" s="6">
        <v>119200</v>
      </c>
      <c r="F26" s="3">
        <v>2.85</v>
      </c>
      <c r="G26">
        <v>0.01</v>
      </c>
      <c r="H26" s="3">
        <v>0.78</v>
      </c>
      <c r="I26">
        <v>0.01</v>
      </c>
    </row>
    <row r="27" spans="1:9" x14ac:dyDescent="0.3">
      <c r="A27" s="2">
        <v>24</v>
      </c>
      <c r="B27">
        <v>1</v>
      </c>
      <c r="C27">
        <v>24</v>
      </c>
      <c r="D27" s="5">
        <f>PI()*A27/$B$1</f>
        <v>1.9841637812146062</v>
      </c>
      <c r="E27" s="6">
        <v>123000</v>
      </c>
      <c r="F27" s="3">
        <v>3.18</v>
      </c>
      <c r="G27">
        <v>0.01</v>
      </c>
      <c r="H27" s="3">
        <v>0.72</v>
      </c>
      <c r="I27">
        <v>0.01</v>
      </c>
    </row>
    <row r="28" spans="1:9" x14ac:dyDescent="0.3">
      <c r="A28" s="2">
        <v>25</v>
      </c>
      <c r="B28">
        <v>0</v>
      </c>
      <c r="C28">
        <v>25</v>
      </c>
      <c r="D28" s="5">
        <f>PI()*A28/$B$1</f>
        <v>2.0668372720985482</v>
      </c>
      <c r="E28" s="6">
        <v>126100</v>
      </c>
      <c r="F28" s="3">
        <v>2.89</v>
      </c>
      <c r="G28">
        <v>0.01</v>
      </c>
      <c r="H28" s="3">
        <v>0.56999999999999995</v>
      </c>
      <c r="I28">
        <v>0.01</v>
      </c>
    </row>
    <row r="29" spans="1:9" x14ac:dyDescent="0.3">
      <c r="A29" s="2">
        <v>26</v>
      </c>
      <c r="B29">
        <v>1</v>
      </c>
      <c r="C29">
        <v>26</v>
      </c>
      <c r="D29" s="5">
        <f>PI()*A29/$B$1</f>
        <v>2.1495107629824903</v>
      </c>
      <c r="E29" s="6">
        <v>130000</v>
      </c>
      <c r="F29" s="3">
        <v>3.6</v>
      </c>
      <c r="G29">
        <v>0.01</v>
      </c>
      <c r="H29" s="3">
        <v>0.49</v>
      </c>
      <c r="I29">
        <v>0.01</v>
      </c>
    </row>
    <row r="30" spans="1:9" x14ac:dyDescent="0.3">
      <c r="A30" s="2">
        <v>27</v>
      </c>
      <c r="B30">
        <v>0</v>
      </c>
      <c r="C30">
        <v>27</v>
      </c>
      <c r="D30" s="5">
        <f>PI()*A30/$B$1</f>
        <v>2.232184253866432</v>
      </c>
      <c r="E30" s="6">
        <v>132700</v>
      </c>
      <c r="F30" s="3">
        <v>2.7</v>
      </c>
      <c r="G30">
        <v>0.01</v>
      </c>
      <c r="H30" s="3">
        <v>0.39</v>
      </c>
      <c r="I30">
        <v>0.01</v>
      </c>
    </row>
    <row r="31" spans="1:9" x14ac:dyDescent="0.3">
      <c r="A31" s="2">
        <v>28</v>
      </c>
      <c r="B31">
        <v>1</v>
      </c>
      <c r="C31">
        <v>28</v>
      </c>
      <c r="D31" s="5">
        <f>PI()*A31/$B$1</f>
        <v>2.3148577447503738</v>
      </c>
      <c r="E31" s="6">
        <v>136000</v>
      </c>
      <c r="F31" s="3">
        <v>3.91</v>
      </c>
      <c r="G31">
        <v>0.01</v>
      </c>
      <c r="H31" s="3">
        <v>0.33</v>
      </c>
      <c r="I31">
        <v>0.01</v>
      </c>
    </row>
    <row r="32" spans="1:9" x14ac:dyDescent="0.3">
      <c r="A32" s="2">
        <v>29</v>
      </c>
      <c r="B32">
        <v>0</v>
      </c>
      <c r="C32">
        <v>29</v>
      </c>
      <c r="D32" s="5">
        <f>PI()*A32/$B$1</f>
        <v>2.3975312356343159</v>
      </c>
      <c r="E32" s="6">
        <v>138700</v>
      </c>
      <c r="F32" s="3">
        <v>4.16</v>
      </c>
      <c r="G32">
        <v>0.01</v>
      </c>
      <c r="H32" s="3">
        <v>0.32</v>
      </c>
      <c r="I32">
        <v>0.01</v>
      </c>
    </row>
    <row r="33" spans="1:9" x14ac:dyDescent="0.3">
      <c r="A33" s="2">
        <v>30</v>
      </c>
      <c r="B33">
        <v>1</v>
      </c>
      <c r="C33">
        <v>30</v>
      </c>
      <c r="D33" s="5">
        <f>PI()*A33/$B$1</f>
        <v>2.4802047265182576</v>
      </c>
      <c r="E33" s="6">
        <v>141200</v>
      </c>
      <c r="F33" s="3">
        <v>4.1100000000000003</v>
      </c>
      <c r="G33">
        <v>0.01</v>
      </c>
      <c r="H33" s="3">
        <v>0.28000000000000003</v>
      </c>
      <c r="I33">
        <v>0.01</v>
      </c>
    </row>
    <row r="34" spans="1:9" x14ac:dyDescent="0.3">
      <c r="A34" s="1">
        <v>31</v>
      </c>
      <c r="B34">
        <v>0</v>
      </c>
      <c r="C34">
        <v>31</v>
      </c>
      <c r="D34" s="5">
        <f>PI()*A34/$B$1</f>
        <v>2.5628782174021993</v>
      </c>
      <c r="E34" s="6">
        <v>143500</v>
      </c>
      <c r="F34" s="3">
        <v>3.52</v>
      </c>
      <c r="G34">
        <v>0.01</v>
      </c>
      <c r="H34" s="3">
        <v>0.2</v>
      </c>
      <c r="I34">
        <v>0.01</v>
      </c>
    </row>
    <row r="35" spans="1:9" x14ac:dyDescent="0.3">
      <c r="A35" s="1">
        <v>32</v>
      </c>
      <c r="B35">
        <v>1</v>
      </c>
      <c r="C35">
        <v>32</v>
      </c>
      <c r="D35" s="5">
        <f>PI()*A35/$B$1</f>
        <v>2.6455517082861415</v>
      </c>
      <c r="E35" s="6">
        <v>145300</v>
      </c>
      <c r="F35" s="3">
        <v>3.59</v>
      </c>
      <c r="G35">
        <v>0.01</v>
      </c>
      <c r="H35" s="3">
        <v>0.09</v>
      </c>
      <c r="I35">
        <v>0.01</v>
      </c>
    </row>
    <row r="36" spans="1:9" x14ac:dyDescent="0.3">
      <c r="D36" s="5"/>
    </row>
    <row r="37" spans="1:9" x14ac:dyDescent="0.3">
      <c r="D37" s="5"/>
    </row>
    <row r="38" spans="1:9" x14ac:dyDescent="0.3">
      <c r="D38" s="5"/>
    </row>
    <row r="39" spans="1:9" x14ac:dyDescent="0.3">
      <c r="D39" s="5"/>
    </row>
    <row r="40" spans="1:9" x14ac:dyDescent="0.3">
      <c r="D40" s="5"/>
    </row>
    <row r="41" spans="1:9" x14ac:dyDescent="0.3">
      <c r="D41" s="5"/>
    </row>
    <row r="42" spans="1:9" x14ac:dyDescent="0.3">
      <c r="D42" s="5"/>
    </row>
    <row r="43" spans="1:9" x14ac:dyDescent="0.3">
      <c r="D43" s="5"/>
    </row>
    <row r="44" spans="1:9" x14ac:dyDescent="0.3">
      <c r="D44" s="5"/>
    </row>
    <row r="45" spans="1:9" x14ac:dyDescent="0.3">
      <c r="D45" s="5"/>
    </row>
    <row r="46" spans="1:9" x14ac:dyDescent="0.3">
      <c r="D46" s="5"/>
    </row>
    <row r="47" spans="1:9" x14ac:dyDescent="0.3">
      <c r="D47" s="5"/>
    </row>
    <row r="48" spans="1:9" x14ac:dyDescent="0.3">
      <c r="D4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Mansilla, Saul</dc:creator>
  <cp:lastModifiedBy>Saúl Díaz Mansilla</cp:lastModifiedBy>
  <dcterms:created xsi:type="dcterms:W3CDTF">2026-02-12T11:28:20Z</dcterms:created>
  <dcterms:modified xsi:type="dcterms:W3CDTF">2026-03-22T20:45:25Z</dcterms:modified>
</cp:coreProperties>
</file>